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rkLiao\2026\01. GPT class\Claude cowork area\Wedding plan\Wedding project\"/>
    </mc:Choice>
  </mc:AlternateContent>
  <xr:revisionPtr revIDLastSave="0" documentId="13_ncr:1_{C78CD93A-BA89-4862-A562-77636AF87808}" xr6:coauthVersionLast="47" xr6:coauthVersionMax="47" xr10:uidLastSave="{00000000-0000-0000-0000-000000000000}"/>
  <bookViews>
    <workbookView xWindow="-38520" yWindow="-5445" windowWidth="38640" windowHeight="21120" tabRatio="500" xr2:uid="{00000000-000D-0000-FFFF-FFFF00000000}"/>
  </bookViews>
  <sheets>
    <sheet name="甘特圖" sheetId="1" r:id="rId1"/>
    <sheet name="完整 Checklist" sheetId="2" r:id="rId2"/>
    <sheet name="男方（廖千儀）" sheetId="3" r:id="rId3"/>
    <sheet name="女方（陳郁諠）" sheetId="4" r:id="rId4"/>
    <sheet name="使用說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1" i="1" l="1"/>
  <c r="S11" i="1"/>
  <c r="S12" i="1"/>
  <c r="R7" i="1"/>
  <c r="S7" i="1"/>
  <c r="G5" i="2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G8" i="4"/>
  <c r="F7" i="4"/>
  <c r="G7" i="4" s="1"/>
  <c r="F6" i="4"/>
  <c r="G6" i="4" s="1"/>
  <c r="G5" i="4"/>
  <c r="G4" i="4"/>
  <c r="G21" i="3"/>
  <c r="G20" i="3"/>
  <c r="G19" i="3"/>
  <c r="G18" i="3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G11" i="3"/>
  <c r="G10" i="3"/>
  <c r="G9" i="3"/>
  <c r="F8" i="3"/>
  <c r="G8" i="3" s="1"/>
  <c r="F7" i="3"/>
  <c r="G7" i="3" s="1"/>
  <c r="G6" i="3"/>
  <c r="G5" i="3"/>
  <c r="G4" i="3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G37" i="2"/>
  <c r="G36" i="2"/>
  <c r="G35" i="2"/>
  <c r="F34" i="2"/>
  <c r="G34" i="2" s="1"/>
  <c r="F33" i="2"/>
  <c r="G33" i="2" s="1"/>
  <c r="F32" i="2"/>
  <c r="G32" i="2" s="1"/>
  <c r="F31" i="2"/>
  <c r="G31" i="2" s="1"/>
  <c r="F30" i="2"/>
  <c r="G30" i="2" s="1"/>
  <c r="G29" i="2"/>
  <c r="F28" i="2"/>
  <c r="G28" i="2" s="1"/>
  <c r="F27" i="2"/>
  <c r="G27" i="2" s="1"/>
  <c r="F26" i="2"/>
  <c r="G26" i="2" s="1"/>
  <c r="F25" i="2"/>
  <c r="G25" i="2" s="1"/>
  <c r="G24" i="2"/>
  <c r="G23" i="2"/>
  <c r="G22" i="2"/>
  <c r="F21" i="2"/>
  <c r="G21" i="2" s="1"/>
  <c r="G20" i="2"/>
  <c r="F19" i="2"/>
  <c r="G19" i="2" s="1"/>
  <c r="F18" i="2"/>
  <c r="G18" i="2" s="1"/>
  <c r="G17" i="2"/>
  <c r="G16" i="2"/>
  <c r="G15" i="2"/>
  <c r="G14" i="2"/>
  <c r="G13" i="2"/>
  <c r="G12" i="2"/>
  <c r="G11" i="2"/>
  <c r="G10" i="2"/>
  <c r="G9" i="2"/>
  <c r="G8" i="2"/>
  <c r="G7" i="2"/>
  <c r="G6" i="2"/>
  <c r="S47" i="1"/>
  <c r="R47" i="1"/>
  <c r="S46" i="1"/>
  <c r="R46" i="1"/>
  <c r="P46" i="1" s="1"/>
  <c r="Q46" i="1"/>
  <c r="O46" i="1"/>
  <c r="S45" i="1"/>
  <c r="R45" i="1"/>
  <c r="J45" i="1" s="1"/>
  <c r="S44" i="1"/>
  <c r="R44" i="1"/>
  <c r="S43" i="1"/>
  <c r="R43" i="1"/>
  <c r="S42" i="1"/>
  <c r="R42" i="1"/>
  <c r="Q42" i="1" s="1"/>
  <c r="F42" i="1"/>
  <c r="E42" i="1"/>
  <c r="D42" i="1"/>
  <c r="S41" i="1"/>
  <c r="R41" i="1"/>
  <c r="S40" i="1"/>
  <c r="R40" i="1"/>
  <c r="S39" i="1"/>
  <c r="K39" i="1" s="1"/>
  <c r="R39" i="1"/>
  <c r="S38" i="1"/>
  <c r="R38" i="1"/>
  <c r="N38" i="1" s="1"/>
  <c r="I38" i="1"/>
  <c r="S37" i="1"/>
  <c r="R37" i="1"/>
  <c r="N37" i="1" s="1"/>
  <c r="Q37" i="1"/>
  <c r="O37" i="1"/>
  <c r="S36" i="1"/>
  <c r="R36" i="1"/>
  <c r="P36" i="1" s="1"/>
  <c r="S35" i="1"/>
  <c r="R35" i="1"/>
  <c r="S34" i="1"/>
  <c r="R34" i="1"/>
  <c r="S33" i="1"/>
  <c r="R33" i="1"/>
  <c r="E33" i="1" s="1"/>
  <c r="S32" i="1"/>
  <c r="R32" i="1"/>
  <c r="I32" i="1" s="1"/>
  <c r="S31" i="1"/>
  <c r="R31" i="1"/>
  <c r="M31" i="1" s="1"/>
  <c r="S30" i="1"/>
  <c r="R30" i="1"/>
  <c r="F30" i="1" s="1"/>
  <c r="S29" i="1"/>
  <c r="R29" i="1"/>
  <c r="L29" i="1" s="1"/>
  <c r="S28" i="1"/>
  <c r="R28" i="1"/>
  <c r="F28" i="1" s="1"/>
  <c r="S27" i="1"/>
  <c r="R27" i="1"/>
  <c r="O27" i="1" s="1"/>
  <c r="S26" i="1"/>
  <c r="R26" i="1"/>
  <c r="S25" i="1"/>
  <c r="R25" i="1"/>
  <c r="S24" i="1"/>
  <c r="R24" i="1"/>
  <c r="K24" i="1" s="1"/>
  <c r="Q24" i="1"/>
  <c r="S23" i="1"/>
  <c r="R23" i="1"/>
  <c r="S22" i="1"/>
  <c r="R22" i="1"/>
  <c r="S21" i="1"/>
  <c r="R21" i="1"/>
  <c r="S20" i="1"/>
  <c r="R20" i="1"/>
  <c r="O20" i="1" s="1"/>
  <c r="S19" i="1"/>
  <c r="R19" i="1"/>
  <c r="P19" i="1" s="1"/>
  <c r="S18" i="1"/>
  <c r="R18" i="1"/>
  <c r="S17" i="1"/>
  <c r="R17" i="1"/>
  <c r="P17" i="1" s="1"/>
  <c r="I17" i="1"/>
  <c r="S16" i="1"/>
  <c r="R16" i="1"/>
  <c r="L16" i="1" s="1"/>
  <c r="S15" i="1"/>
  <c r="R15" i="1"/>
  <c r="L15" i="1" s="1"/>
  <c r="D15" i="1"/>
  <c r="S14" i="1"/>
  <c r="R14" i="1"/>
  <c r="S13" i="1"/>
  <c r="R13" i="1"/>
  <c r="F13" i="1" s="1"/>
  <c r="Q13" i="1"/>
  <c r="R12" i="1"/>
  <c r="S10" i="1"/>
  <c r="R10" i="1"/>
  <c r="O10" i="1" s="1"/>
  <c r="S9" i="1"/>
  <c r="R9" i="1"/>
  <c r="S8" i="1"/>
  <c r="H8" i="1" s="1"/>
  <c r="R8" i="1"/>
  <c r="N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G2" i="1"/>
  <c r="K30" i="1" l="1"/>
  <c r="I26" i="1"/>
  <c r="L24" i="1"/>
  <c r="N24" i="1"/>
  <c r="O29" i="1"/>
  <c r="F7" i="1"/>
  <c r="D30" i="1"/>
  <c r="G7" i="1"/>
  <c r="F16" i="1"/>
  <c r="I20" i="1"/>
  <c r="E24" i="1"/>
  <c r="P26" i="1"/>
  <c r="M35" i="1"/>
  <c r="G47" i="1"/>
  <c r="H7" i="1"/>
  <c r="G16" i="1"/>
  <c r="L20" i="1"/>
  <c r="I24" i="1"/>
  <c r="M20" i="1"/>
  <c r="J24" i="1"/>
  <c r="P27" i="1"/>
  <c r="Q30" i="1"/>
  <c r="O36" i="1"/>
  <c r="Q39" i="1"/>
  <c r="O7" i="1"/>
  <c r="N16" i="1"/>
  <c r="Q27" i="1"/>
  <c r="L44" i="1"/>
  <c r="D11" i="1"/>
  <c r="I39" i="1"/>
  <c r="L23" i="1"/>
  <c r="L14" i="1"/>
  <c r="O24" i="1"/>
  <c r="K32" i="1"/>
  <c r="Q36" i="1"/>
  <c r="F25" i="1"/>
  <c r="Q18" i="1"/>
  <c r="M29" i="1"/>
  <c r="L32" i="1"/>
  <c r="M40" i="1"/>
  <c r="O44" i="1"/>
  <c r="H11" i="1"/>
  <c r="I11" i="1"/>
  <c r="P45" i="1"/>
  <c r="D20" i="1"/>
  <c r="L11" i="1"/>
  <c r="Q9" i="1"/>
  <c r="O11" i="1"/>
  <c r="K15" i="1"/>
  <c r="O22" i="1"/>
  <c r="G31" i="1"/>
  <c r="L35" i="1"/>
  <c r="L37" i="1"/>
  <c r="O39" i="1"/>
  <c r="D43" i="1"/>
  <c r="Q47" i="1"/>
  <c r="N10" i="1"/>
  <c r="F11" i="1"/>
  <c r="N12" i="1"/>
  <c r="J37" i="1"/>
  <c r="K7" i="1"/>
  <c r="J11" i="1"/>
  <c r="K11" i="1"/>
  <c r="D37" i="1"/>
  <c r="H14" i="1"/>
  <c r="K17" i="1"/>
  <c r="F37" i="1"/>
  <c r="I8" i="1"/>
  <c r="M11" i="1"/>
  <c r="G35" i="1"/>
  <c r="K37" i="1"/>
  <c r="P11" i="1"/>
  <c r="J25" i="1"/>
  <c r="J29" i="1"/>
  <c r="N35" i="1"/>
  <c r="M37" i="1"/>
  <c r="J15" i="1"/>
  <c r="N19" i="1"/>
  <c r="P23" i="1"/>
  <c r="K25" i="1"/>
  <c r="K29" i="1"/>
  <c r="F31" i="1"/>
  <c r="O35" i="1"/>
  <c r="G44" i="1"/>
  <c r="H9" i="1"/>
  <c r="E10" i="1"/>
  <c r="M14" i="1"/>
  <c r="N15" i="1"/>
  <c r="O16" i="1"/>
  <c r="N18" i="1"/>
  <c r="H20" i="1"/>
  <c r="L25" i="1"/>
  <c r="P30" i="1"/>
  <c r="K38" i="1"/>
  <c r="Q43" i="1"/>
  <c r="K45" i="1"/>
  <c r="I9" i="1"/>
  <c r="L12" i="1"/>
  <c r="N14" i="1"/>
  <c r="O15" i="1"/>
  <c r="O18" i="1"/>
  <c r="N25" i="1"/>
  <c r="L38" i="1"/>
  <c r="N45" i="1"/>
  <c r="D8" i="1"/>
  <c r="N9" i="1"/>
  <c r="O14" i="1"/>
  <c r="Q15" i="1"/>
  <c r="P18" i="1"/>
  <c r="J20" i="1"/>
  <c r="D23" i="1"/>
  <c r="O25" i="1"/>
  <c r="M38" i="1"/>
  <c r="O45" i="1"/>
  <c r="F8" i="1"/>
  <c r="O9" i="1"/>
  <c r="E12" i="1"/>
  <c r="P14" i="1"/>
  <c r="G17" i="1"/>
  <c r="K20" i="1"/>
  <c r="G23" i="1"/>
  <c r="E31" i="1"/>
  <c r="O38" i="1"/>
  <c r="G8" i="1"/>
  <c r="P9" i="1"/>
  <c r="H17" i="1"/>
  <c r="D18" i="1"/>
  <c r="H23" i="1"/>
  <c r="P28" i="1"/>
  <c r="Q33" i="1"/>
  <c r="D40" i="1"/>
  <c r="F47" i="1"/>
  <c r="E40" i="1"/>
  <c r="I42" i="1"/>
  <c r="M44" i="1"/>
  <c r="D46" i="1"/>
  <c r="H47" i="1"/>
  <c r="M23" i="1"/>
  <c r="K26" i="1"/>
  <c r="G30" i="1"/>
  <c r="J31" i="1"/>
  <c r="P37" i="1"/>
  <c r="D39" i="1"/>
  <c r="F40" i="1"/>
  <c r="N44" i="1"/>
  <c r="F46" i="1"/>
  <c r="I47" i="1"/>
  <c r="J7" i="1"/>
  <c r="K8" i="1"/>
  <c r="L10" i="1"/>
  <c r="E15" i="1"/>
  <c r="H16" i="1"/>
  <c r="L17" i="1"/>
  <c r="O19" i="1"/>
  <c r="P20" i="1"/>
  <c r="N23" i="1"/>
  <c r="L26" i="1"/>
  <c r="H29" i="1"/>
  <c r="H30" i="1"/>
  <c r="K31" i="1"/>
  <c r="F39" i="1"/>
  <c r="G40" i="1"/>
  <c r="P42" i="1"/>
  <c r="J46" i="1"/>
  <c r="J47" i="1"/>
  <c r="P8" i="1"/>
  <c r="M10" i="1"/>
  <c r="D14" i="1"/>
  <c r="I15" i="1"/>
  <c r="J16" i="1"/>
  <c r="N20" i="1"/>
  <c r="O23" i="1"/>
  <c r="I29" i="1"/>
  <c r="I30" i="1"/>
  <c r="O34" i="1"/>
  <c r="F38" i="1"/>
  <c r="G39" i="1"/>
  <c r="J40" i="1"/>
  <c r="K46" i="1"/>
  <c r="K47" i="1"/>
  <c r="L7" i="1"/>
  <c r="L8" i="1"/>
  <c r="G14" i="1"/>
  <c r="K16" i="1"/>
  <c r="H25" i="1"/>
  <c r="J30" i="1"/>
  <c r="N31" i="1"/>
  <c r="H38" i="1"/>
  <c r="H39" i="1"/>
  <c r="N43" i="1"/>
  <c r="L46" i="1"/>
  <c r="L47" i="1"/>
  <c r="O43" i="1"/>
  <c r="E45" i="1"/>
  <c r="M46" i="1"/>
  <c r="M47" i="1"/>
  <c r="F9" i="1"/>
  <c r="P10" i="1"/>
  <c r="I18" i="1"/>
  <c r="F20" i="1"/>
  <c r="O30" i="1"/>
  <c r="J38" i="1"/>
  <c r="J39" i="1"/>
  <c r="P43" i="1"/>
  <c r="N46" i="1"/>
  <c r="O47" i="1"/>
  <c r="M21" i="1"/>
  <c r="Q21" i="1"/>
  <c r="D21" i="1"/>
  <c r="P21" i="1"/>
  <c r="O21" i="1"/>
  <c r="K21" i="1"/>
  <c r="M27" i="1"/>
  <c r="L27" i="1"/>
  <c r="K27" i="1"/>
  <c r="J27" i="1"/>
  <c r="G27" i="1"/>
  <c r="D33" i="1"/>
  <c r="G34" i="1"/>
  <c r="Q17" i="1"/>
  <c r="E17" i="1"/>
  <c r="O17" i="1"/>
  <c r="N17" i="1"/>
  <c r="M17" i="1"/>
  <c r="J17" i="1"/>
  <c r="G21" i="1"/>
  <c r="J22" i="1"/>
  <c r="D27" i="1"/>
  <c r="J34" i="1"/>
  <c r="Q35" i="1"/>
  <c r="E35" i="1"/>
  <c r="P35" i="1"/>
  <c r="D35" i="1"/>
  <c r="K35" i="1"/>
  <c r="J35" i="1"/>
  <c r="H35" i="1"/>
  <c r="I35" i="1"/>
  <c r="F35" i="1"/>
  <c r="I40" i="1"/>
  <c r="H40" i="1"/>
  <c r="Q40" i="1"/>
  <c r="P40" i="1"/>
  <c r="O40" i="1"/>
  <c r="N40" i="1"/>
  <c r="L40" i="1"/>
  <c r="K40" i="1"/>
  <c r="Q41" i="1"/>
  <c r="E41" i="1"/>
  <c r="P41" i="1"/>
  <c r="D41" i="1"/>
  <c r="O41" i="1"/>
  <c r="N41" i="1"/>
  <c r="M41" i="1"/>
  <c r="L41" i="1"/>
  <c r="J41" i="1"/>
  <c r="I41" i="1"/>
  <c r="I13" i="1"/>
  <c r="N13" i="1"/>
  <c r="M13" i="1"/>
  <c r="L13" i="1"/>
  <c r="H13" i="1"/>
  <c r="I28" i="1"/>
  <c r="J28" i="1"/>
  <c r="H28" i="1"/>
  <c r="G28" i="1"/>
  <c r="Q28" i="1"/>
  <c r="D28" i="1"/>
  <c r="M33" i="1"/>
  <c r="L33" i="1"/>
  <c r="O33" i="1"/>
  <c r="N33" i="1"/>
  <c r="K33" i="1"/>
  <c r="H33" i="1"/>
  <c r="M12" i="1"/>
  <c r="Q12" i="1"/>
  <c r="D12" i="1"/>
  <c r="P12" i="1"/>
  <c r="O12" i="1"/>
  <c r="K12" i="1"/>
  <c r="D22" i="1"/>
  <c r="I19" i="1"/>
  <c r="J19" i="1"/>
  <c r="H19" i="1"/>
  <c r="G19" i="1"/>
  <c r="Q19" i="1"/>
  <c r="D19" i="1"/>
  <c r="E22" i="1"/>
  <c r="Q32" i="1"/>
  <c r="E32" i="1"/>
  <c r="P32" i="1"/>
  <c r="D32" i="1"/>
  <c r="O32" i="1"/>
  <c r="N32" i="1"/>
  <c r="M32" i="1"/>
  <c r="J32" i="1"/>
  <c r="D34" i="1"/>
  <c r="D13" i="1"/>
  <c r="Q26" i="1"/>
  <c r="E26" i="1"/>
  <c r="O26" i="1"/>
  <c r="N26" i="1"/>
  <c r="M26" i="1"/>
  <c r="J26" i="1"/>
  <c r="E34" i="1"/>
  <c r="H36" i="1"/>
  <c r="F36" i="1"/>
  <c r="G36" i="1"/>
  <c r="D36" i="1"/>
  <c r="M9" i="1"/>
  <c r="L9" i="1"/>
  <c r="K9" i="1"/>
  <c r="J9" i="1"/>
  <c r="G9" i="1"/>
  <c r="F12" i="1"/>
  <c r="G13" i="1"/>
  <c r="E19" i="1"/>
  <c r="H21" i="1"/>
  <c r="K22" i="1"/>
  <c r="I31" i="1"/>
  <c r="H31" i="1"/>
  <c r="Q31" i="1"/>
  <c r="P31" i="1"/>
  <c r="O31" i="1"/>
  <c r="L31" i="1"/>
  <c r="N34" i="1"/>
  <c r="Q8" i="1"/>
  <c r="E8" i="1"/>
  <c r="O8" i="1"/>
  <c r="N8" i="1"/>
  <c r="M8" i="1"/>
  <c r="J8" i="1"/>
  <c r="G12" i="1"/>
  <c r="J13" i="1"/>
  <c r="F19" i="1"/>
  <c r="I21" i="1"/>
  <c r="D26" i="1"/>
  <c r="L28" i="1"/>
  <c r="M42" i="1"/>
  <c r="L42" i="1"/>
  <c r="O42" i="1"/>
  <c r="N42" i="1"/>
  <c r="K42" i="1"/>
  <c r="J42" i="1"/>
  <c r="H42" i="1"/>
  <c r="G42" i="1"/>
  <c r="H45" i="1"/>
  <c r="G45" i="1"/>
  <c r="F45" i="1"/>
  <c r="D45" i="1"/>
  <c r="Q45" i="1"/>
  <c r="E16" i="1"/>
  <c r="Q16" i="1"/>
  <c r="D16" i="1"/>
  <c r="P16" i="1"/>
  <c r="M16" i="1"/>
  <c r="J21" i="1"/>
  <c r="P22" i="1"/>
  <c r="H27" i="1"/>
  <c r="F32" i="1"/>
  <c r="P34" i="1"/>
  <c r="G41" i="1"/>
  <c r="D9" i="1"/>
  <c r="I12" i="1"/>
  <c r="O13" i="1"/>
  <c r="M15" i="1"/>
  <c r="H15" i="1"/>
  <c r="G15" i="1"/>
  <c r="F15" i="1"/>
  <c r="P15" i="1"/>
  <c r="D17" i="1"/>
  <c r="L19" i="1"/>
  <c r="L21" i="1"/>
  <c r="Q22" i="1"/>
  <c r="G26" i="1"/>
  <c r="I27" i="1"/>
  <c r="N28" i="1"/>
  <c r="Q29" i="1"/>
  <c r="E29" i="1"/>
  <c r="P29" i="1"/>
  <c r="G29" i="1"/>
  <c r="F29" i="1"/>
  <c r="D29" i="1"/>
  <c r="N29" i="1"/>
  <c r="G32" i="1"/>
  <c r="J33" i="1"/>
  <c r="Q34" i="1"/>
  <c r="K36" i="1"/>
  <c r="H41" i="1"/>
  <c r="E21" i="1"/>
  <c r="F22" i="1"/>
  <c r="I43" i="1"/>
  <c r="H43" i="1"/>
  <c r="M43" i="1"/>
  <c r="L43" i="1"/>
  <c r="K43" i="1"/>
  <c r="J43" i="1"/>
  <c r="F43" i="1"/>
  <c r="E43" i="1"/>
  <c r="I10" i="1"/>
  <c r="J10" i="1"/>
  <c r="H10" i="1"/>
  <c r="G10" i="1"/>
  <c r="Q10" i="1"/>
  <c r="D10" i="1"/>
  <c r="E13" i="1"/>
  <c r="M18" i="1"/>
  <c r="L18" i="1"/>
  <c r="K18" i="1"/>
  <c r="J18" i="1"/>
  <c r="G18" i="1"/>
  <c r="F21" i="1"/>
  <c r="G22" i="1"/>
  <c r="E28" i="1"/>
  <c r="E25" i="1"/>
  <c r="Q25" i="1"/>
  <c r="D25" i="1"/>
  <c r="P25" i="1"/>
  <c r="M25" i="1"/>
  <c r="E27" i="1"/>
  <c r="K28" i="1"/>
  <c r="F33" i="1"/>
  <c r="M24" i="1"/>
  <c r="H24" i="1"/>
  <c r="G24" i="1"/>
  <c r="F24" i="1"/>
  <c r="P24" i="1"/>
  <c r="F27" i="1"/>
  <c r="G33" i="1"/>
  <c r="E36" i="1"/>
  <c r="F41" i="1"/>
  <c r="H12" i="1"/>
  <c r="K13" i="1"/>
  <c r="E18" i="1"/>
  <c r="K19" i="1"/>
  <c r="Q23" i="1"/>
  <c r="E23" i="1"/>
  <c r="K23" i="1"/>
  <c r="J23" i="1"/>
  <c r="I23" i="1"/>
  <c r="F23" i="1"/>
  <c r="F26" i="1"/>
  <c r="M28" i="1"/>
  <c r="I33" i="1"/>
  <c r="J36" i="1"/>
  <c r="F10" i="1"/>
  <c r="F18" i="1"/>
  <c r="E7" i="1"/>
  <c r="Q7" i="1"/>
  <c r="D7" i="1"/>
  <c r="P7" i="1"/>
  <c r="M7" i="1"/>
  <c r="E9" i="1"/>
  <c r="K10" i="1"/>
  <c r="J12" i="1"/>
  <c r="P13" i="1"/>
  <c r="Q14" i="1"/>
  <c r="E14" i="1"/>
  <c r="K14" i="1"/>
  <c r="J14" i="1"/>
  <c r="I14" i="1"/>
  <c r="F14" i="1"/>
  <c r="F17" i="1"/>
  <c r="H18" i="1"/>
  <c r="M19" i="1"/>
  <c r="N21" i="1"/>
  <c r="I22" i="1"/>
  <c r="N22" i="1"/>
  <c r="M22" i="1"/>
  <c r="L22" i="1"/>
  <c r="H22" i="1"/>
  <c r="D24" i="1"/>
  <c r="G25" i="1"/>
  <c r="H26" i="1"/>
  <c r="N27" i="1"/>
  <c r="O28" i="1"/>
  <c r="D31" i="1"/>
  <c r="H32" i="1"/>
  <c r="P33" i="1"/>
  <c r="I34" i="1"/>
  <c r="H34" i="1"/>
  <c r="M34" i="1"/>
  <c r="L34" i="1"/>
  <c r="K34" i="1"/>
  <c r="F34" i="1"/>
  <c r="N36" i="1"/>
  <c r="K41" i="1"/>
  <c r="G43" i="1"/>
  <c r="Q44" i="1"/>
  <c r="E44" i="1"/>
  <c r="P44" i="1"/>
  <c r="D44" i="1"/>
  <c r="K44" i="1"/>
  <c r="J44" i="1"/>
  <c r="I44" i="1"/>
  <c r="H44" i="1"/>
  <c r="F44" i="1"/>
  <c r="N11" i="1"/>
  <c r="N30" i="1"/>
  <c r="M36" i="1"/>
  <c r="L36" i="1"/>
  <c r="N39" i="1"/>
  <c r="M45" i="1"/>
  <c r="L45" i="1"/>
  <c r="N47" i="1"/>
  <c r="I37" i="1"/>
  <c r="H37" i="1"/>
  <c r="Q38" i="1"/>
  <c r="E38" i="1"/>
  <c r="P38" i="1"/>
  <c r="D38" i="1"/>
  <c r="P39" i="1"/>
  <c r="I46" i="1"/>
  <c r="H46" i="1"/>
  <c r="Q11" i="1"/>
  <c r="E11" i="1"/>
  <c r="Q20" i="1"/>
  <c r="E20" i="1"/>
  <c r="E37" i="1"/>
  <c r="E46" i="1"/>
  <c r="M30" i="1"/>
  <c r="L30" i="1"/>
  <c r="M39" i="1"/>
  <c r="L39" i="1"/>
  <c r="I7" i="1"/>
  <c r="G11" i="1"/>
  <c r="I16" i="1"/>
  <c r="G20" i="1"/>
  <c r="I25" i="1"/>
  <c r="E30" i="1"/>
  <c r="I36" i="1"/>
  <c r="G37" i="1"/>
  <c r="G38" i="1"/>
  <c r="E39" i="1"/>
  <c r="I45" i="1"/>
  <c r="G46" i="1"/>
  <c r="D47" i="1"/>
  <c r="P47" i="1"/>
  <c r="E47" i="1"/>
</calcChain>
</file>

<file path=xl/sharedStrings.xml><?xml version="1.0" encoding="utf-8"?>
<sst xmlns="http://schemas.openxmlformats.org/spreadsheetml/2006/main" count="697" uniqueCount="378">
  <si>
    <t>廖千儀 ♥ 陳郁諠  結婚籌備甘特圖</t>
  </si>
  <si>
    <t>婚禮日期 →</t>
  </si>
  <si>
    <r>
      <rPr>
        <i/>
        <sz val="9"/>
        <color rgb="FF888888"/>
        <rFont val="DejaVu Sans"/>
        <family val="2"/>
      </rPr>
      <t xml:space="preserve">← 修改 </t>
    </r>
    <r>
      <rPr>
        <i/>
        <sz val="9"/>
        <color rgb="FF888888"/>
        <rFont val="Arial"/>
        <charset val="1"/>
      </rPr>
      <t xml:space="preserve">C2 </t>
    </r>
    <r>
      <rPr>
        <i/>
        <sz val="9"/>
        <color rgb="FF888888"/>
        <rFont val="DejaVu Sans"/>
        <family val="2"/>
      </rPr>
      <t xml:space="preserve">日期，甘特圖列與 </t>
    </r>
    <r>
      <rPr>
        <i/>
        <sz val="9"/>
        <color rgb="FF888888"/>
        <rFont val="Arial"/>
        <charset val="1"/>
      </rPr>
      <t xml:space="preserve">Checklist </t>
    </r>
    <r>
      <rPr>
        <i/>
        <sz val="9"/>
        <color rgb="FF888888"/>
        <rFont val="DejaVu Sans"/>
        <family val="2"/>
      </rPr>
      <t>到期日自動連動</t>
    </r>
  </si>
  <si>
    <t>圖例：</t>
  </si>
  <si>
    <r>
      <rPr>
        <sz val="8"/>
        <color rgb="FF000000"/>
        <rFont val="DejaVu Sans"/>
        <family val="2"/>
      </rPr>
      <t>男方</t>
    </r>
    <r>
      <rPr>
        <sz val="8"/>
        <color rgb="FF000000"/>
        <rFont val="Arial"/>
        <charset val="1"/>
      </rPr>
      <t>(</t>
    </r>
    <r>
      <rPr>
        <sz val="8"/>
        <color rgb="FF000000"/>
        <rFont val="DejaVu Sans"/>
        <family val="2"/>
      </rPr>
      <t>廖千儀</t>
    </r>
    <r>
      <rPr>
        <sz val="8"/>
        <color rgb="FF000000"/>
        <rFont val="Arial"/>
        <charset val="1"/>
      </rPr>
      <t>)</t>
    </r>
  </si>
  <si>
    <r>
      <rPr>
        <sz val="8"/>
        <color rgb="FF000000"/>
        <rFont val="DejaVu Sans"/>
        <family val="2"/>
      </rPr>
      <t>女方</t>
    </r>
    <r>
      <rPr>
        <sz val="8"/>
        <color rgb="FF000000"/>
        <rFont val="Arial"/>
        <charset val="1"/>
      </rPr>
      <t>(</t>
    </r>
    <r>
      <rPr>
        <sz val="8"/>
        <color rgb="FF000000"/>
        <rFont val="DejaVu Sans"/>
        <family val="2"/>
      </rPr>
      <t>陳郁諠</t>
    </r>
    <r>
      <rPr>
        <sz val="8"/>
        <color rgb="FF000000"/>
        <rFont val="Arial"/>
        <charset val="1"/>
      </rPr>
      <t>)</t>
    </r>
  </si>
  <si>
    <t>雙方共同</t>
  </si>
  <si>
    <t>已完成</t>
  </si>
  <si>
    <t>今日欄</t>
  </si>
  <si>
    <t>婚禮月</t>
  </si>
  <si>
    <t>類別</t>
  </si>
  <si>
    <t>項目</t>
  </si>
  <si>
    <t>負責</t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</si>
  <si>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五月</t>
    </r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</si>
  <si>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六月</t>
    </r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</si>
  <si>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七月</t>
    </r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</si>
  <si>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八月</t>
    </r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</si>
  <si>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九月</t>
    </r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</si>
  <si>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十月</t>
    </r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</si>
  <si>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十一月</t>
    </r>
  </si>
  <si>
    <r>
      <rPr>
        <b/>
        <sz val="8"/>
        <color rgb="FFFFFFFF"/>
        <rFont val="Arial"/>
        <charset val="1"/>
      </rPr>
      <t xml:space="preserve">2026
</t>
    </r>
    <r>
      <rPr>
        <b/>
        <sz val="8"/>
        <color rgb="FFFFFFFF"/>
        <rFont val="DejaVu Sans"/>
        <family val="2"/>
      </rPr>
      <t>十二月</t>
    </r>
  </si>
  <si>
    <r>
      <rPr>
        <b/>
        <sz val="8"/>
        <color rgb="FFFFFFFF"/>
        <rFont val="Arial"/>
        <charset val="1"/>
      </rPr>
      <t xml:space="preserve">2027
</t>
    </r>
    <r>
      <rPr>
        <b/>
        <sz val="8"/>
        <color rgb="FFFFFFFF"/>
        <rFont val="DejaVu Sans"/>
        <family val="2"/>
      </rPr>
      <t>一月</t>
    </r>
  </si>
  <si>
    <r>
      <rPr>
        <b/>
        <sz val="8"/>
        <color rgb="FFFFFFFF"/>
        <rFont val="Arial"/>
        <charset val="1"/>
      </rPr>
      <t xml:space="preserve">2027
</t>
    </r>
    <r>
      <rPr>
        <b/>
        <sz val="8"/>
        <color rgb="FFFFFFFF"/>
        <rFont val="DejaVu Sans"/>
        <family val="2"/>
      </rPr>
      <t>二月</t>
    </r>
  </si>
  <si>
    <r>
      <rPr>
        <b/>
        <sz val="8"/>
        <color rgb="FFFFFFFF"/>
        <rFont val="Arial"/>
        <charset val="1"/>
      </rPr>
      <t xml:space="preserve">2027
</t>
    </r>
    <r>
      <rPr>
        <b/>
        <sz val="8"/>
        <color rgb="FFFFFFFF"/>
        <rFont val="DejaVu Sans"/>
        <family val="2"/>
      </rPr>
      <t>三月</t>
    </r>
  </si>
  <si>
    <r>
      <rPr>
        <b/>
        <sz val="8"/>
        <color rgb="FFFFFFFF"/>
        <rFont val="Arial"/>
        <charset val="1"/>
      </rPr>
      <t xml:space="preserve">2027
</t>
    </r>
    <r>
      <rPr>
        <b/>
        <sz val="8"/>
        <color rgb="FFFFFFFF"/>
        <rFont val="DejaVu Sans"/>
        <family val="2"/>
      </rPr>
      <t>四月</t>
    </r>
  </si>
  <si>
    <r>
      <rPr>
        <b/>
        <sz val="8"/>
        <color rgb="FFFFFFFF"/>
        <rFont val="Arial"/>
        <charset val="1"/>
      </rPr>
      <t xml:space="preserve">2027
</t>
    </r>
    <r>
      <rPr>
        <b/>
        <sz val="8"/>
        <color rgb="FFFFFFFF"/>
        <rFont val="DejaVu Sans"/>
        <family val="2"/>
      </rPr>
      <t>五月</t>
    </r>
  </si>
  <si>
    <r>
      <rPr>
        <b/>
        <sz val="8"/>
        <color rgb="FFFFFFFF"/>
        <rFont val="Arial"/>
        <charset val="1"/>
      </rPr>
      <t xml:space="preserve">2027
</t>
    </r>
    <r>
      <rPr>
        <b/>
        <sz val="8"/>
        <color rgb="FFFFFFFF"/>
        <rFont val="DejaVu Sans"/>
        <family val="2"/>
      </rPr>
      <t>六月</t>
    </r>
  </si>
  <si>
    <t>確認規劃</t>
  </si>
  <si>
    <r>
      <rPr>
        <sz val="8"/>
        <rFont val="DejaVu Sans"/>
        <family val="2"/>
      </rPr>
      <t xml:space="preserve">求婚完成 </t>
    </r>
    <r>
      <rPr>
        <sz val="8"/>
        <rFont val="Arial"/>
        <charset val="1"/>
      </rPr>
      <t xml:space="preserve">(04/17 </t>
    </r>
    <r>
      <rPr>
        <sz val="8"/>
        <rFont val="DejaVu Sans"/>
        <family val="2"/>
      </rPr>
      <t>已完成</t>
    </r>
    <r>
      <rPr>
        <sz val="8"/>
        <rFont val="Arial"/>
        <charset val="1"/>
      </rPr>
      <t>)</t>
    </r>
  </si>
  <si>
    <t>雙</t>
  </si>
  <si>
    <r>
      <rPr>
        <sz val="8"/>
        <rFont val="DejaVu Sans"/>
        <family val="2"/>
      </rPr>
      <t xml:space="preserve">家長面談 </t>
    </r>
    <r>
      <rPr>
        <sz val="8"/>
        <rFont val="Arial"/>
        <charset val="1"/>
      </rPr>
      <t xml:space="preserve">(05/30 </t>
    </r>
    <r>
      <rPr>
        <sz val="8"/>
        <rFont val="DejaVu Sans"/>
        <family val="2"/>
      </rPr>
      <t>已排定</t>
    </r>
    <r>
      <rPr>
        <sz val="8"/>
        <rFont val="Arial"/>
        <charset val="1"/>
      </rPr>
      <t>)</t>
    </r>
  </si>
  <si>
    <t>確定婚禮日期（查農民曆）</t>
  </si>
  <si>
    <t>確認婚禮總預算</t>
  </si>
  <si>
    <t>確認賓客名單初稿</t>
  </si>
  <si>
    <r>
      <rPr>
        <sz val="8"/>
        <rFont val="DejaVu Sans"/>
        <family val="2"/>
      </rPr>
      <t>確定婚宴形式（飯店</t>
    </r>
    <r>
      <rPr>
        <sz val="8"/>
        <rFont val="Arial"/>
        <charset val="1"/>
      </rPr>
      <t>/</t>
    </r>
    <r>
      <rPr>
        <sz val="8"/>
        <rFont val="DejaVu Sans"/>
        <family val="2"/>
      </rPr>
      <t>餐廳）</t>
    </r>
  </si>
  <si>
    <t>預訂服務</t>
  </si>
  <si>
    <t>預訂婚宴場地 ⚡</t>
  </si>
  <si>
    <t>預訂婚紗工作室</t>
  </si>
  <si>
    <t>預訂婚禮攝影師</t>
  </si>
  <si>
    <t>預訂婚禮錄影（選配）</t>
  </si>
  <si>
    <t>預訂新娘秘書（新秘）⚡</t>
  </si>
  <si>
    <t>女</t>
  </si>
  <si>
    <t>確定婚禮主持人</t>
  </si>
  <si>
    <t>規劃蜜月行程</t>
  </si>
  <si>
    <t>法律文件</t>
  </si>
  <si>
    <t>準備結婚登記文件</t>
  </si>
  <si>
    <t>辦理結婚登記（戶政事務所）</t>
  </si>
  <si>
    <t>男方準備</t>
  </si>
  <si>
    <t>確認聘金金額</t>
  </si>
  <si>
    <t>男</t>
  </si>
  <si>
    <t>準備聘禮（禮餅等）</t>
  </si>
  <si>
    <t>購買結婚對戒</t>
  </si>
  <si>
    <r>
      <rPr>
        <sz val="8"/>
        <rFont val="DejaVu Sans"/>
        <family val="2"/>
      </rPr>
      <t>準備西裝</t>
    </r>
    <r>
      <rPr>
        <sz val="8"/>
        <rFont val="Arial"/>
        <charset val="1"/>
      </rPr>
      <t>/</t>
    </r>
    <r>
      <rPr>
        <sz val="8"/>
        <rFont val="DejaVu Sans"/>
        <family val="2"/>
      </rPr>
      <t>禮服</t>
    </r>
  </si>
  <si>
    <t>婚房布置規劃</t>
  </si>
  <si>
    <t>安排迎娶車隊</t>
  </si>
  <si>
    <t>準備迎娶道具（捧花等）</t>
  </si>
  <si>
    <t>女方準備</t>
  </si>
  <si>
    <t>挑選婚紗及試穿</t>
  </si>
  <si>
    <t>準備嫁妝（棉被、臉盆等）</t>
  </si>
  <si>
    <t>新娘試妝</t>
  </si>
  <si>
    <t>出嫁儀式流程規劃</t>
  </si>
  <si>
    <t>拍攝製作</t>
  </si>
  <si>
    <t>拍攝婚紗照</t>
  </si>
  <si>
    <t>設計印製喜帖</t>
  </si>
  <si>
    <t>寄送喜帖</t>
  </si>
  <si>
    <r>
      <rPr>
        <sz val="8"/>
        <rFont val="DejaVu Sans"/>
        <family val="2"/>
      </rPr>
      <t>製作婚禮投影</t>
    </r>
    <r>
      <rPr>
        <sz val="8"/>
        <rFont val="Arial"/>
        <charset val="1"/>
      </rPr>
      <t>MV</t>
    </r>
  </si>
  <si>
    <t>婚禮用品</t>
  </si>
  <si>
    <t>確認菜單與桌數</t>
  </si>
  <si>
    <r>
      <rPr>
        <sz val="8"/>
        <rFont val="DejaVu Sans"/>
        <family val="2"/>
      </rPr>
      <t>準備喜糖</t>
    </r>
    <r>
      <rPr>
        <sz val="8"/>
        <rFont val="Arial"/>
        <charset val="1"/>
      </rPr>
      <t>/</t>
    </r>
    <r>
      <rPr>
        <sz val="8"/>
        <rFont val="DejaVu Sans"/>
        <family val="2"/>
      </rPr>
      <t>囍餅</t>
    </r>
  </si>
  <si>
    <r>
      <rPr>
        <sz val="8"/>
        <rFont val="DejaVu Sans"/>
        <family val="2"/>
      </rPr>
      <t>準備桌上禮</t>
    </r>
    <r>
      <rPr>
        <sz val="8"/>
        <rFont val="Arial"/>
        <charset val="1"/>
      </rPr>
      <t>/</t>
    </r>
    <r>
      <rPr>
        <sz val="8"/>
        <rFont val="DejaVu Sans"/>
        <family val="2"/>
      </rPr>
      <t>小物</t>
    </r>
  </si>
  <si>
    <t>最終確認</t>
  </si>
  <si>
    <t>確認場地最終細節</t>
  </si>
  <si>
    <t>婚禮當天行程表</t>
  </si>
  <si>
    <t>婚宴彩排</t>
  </si>
  <si>
    <t>賓客最終名單</t>
  </si>
  <si>
    <t>🎊 婚禮</t>
  </si>
  <si>
    <r>
      <rPr>
        <b/>
        <sz val="8"/>
        <rFont val="DejaVu Sans"/>
        <family val="2"/>
      </rPr>
      <t xml:space="preserve">結婚典禮 </t>
    </r>
    <r>
      <rPr>
        <b/>
        <sz val="8"/>
        <rFont val="Arial"/>
        <charset val="1"/>
      </rPr>
      <t xml:space="preserve">&amp; </t>
    </r>
    <r>
      <rPr>
        <b/>
        <sz val="8"/>
        <rFont val="DejaVu Sans"/>
        <family val="2"/>
      </rPr>
      <t>婚宴</t>
    </r>
  </si>
  <si>
    <t>婚後事項</t>
  </si>
  <si>
    <t>蜜月旅行</t>
  </si>
  <si>
    <t>歸寧（回娘家，帶雞腿）</t>
  </si>
  <si>
    <r>
      <rPr>
        <sz val="8"/>
        <rFont val="DejaVu Sans"/>
        <family val="2"/>
      </rPr>
      <t>更新身分證</t>
    </r>
    <r>
      <rPr>
        <sz val="8"/>
        <rFont val="Arial"/>
        <charset val="1"/>
      </rPr>
      <t>/</t>
    </r>
    <r>
      <rPr>
        <sz val="8"/>
        <rFont val="DejaVu Sans"/>
        <family val="2"/>
      </rPr>
      <t>護照</t>
    </r>
  </si>
  <si>
    <t>寄送感謝卡</t>
  </si>
  <si>
    <t>洗印婚禮照片</t>
  </si>
  <si>
    <r>
      <rPr>
        <b/>
        <sz val="13"/>
        <color rgb="FFFFFFFF"/>
        <rFont val="DejaVu Sans"/>
        <family val="2"/>
      </rPr>
      <t xml:space="preserve">廖千儀 ♥ 陳郁諠  結婚籌備完整 </t>
    </r>
    <r>
      <rPr>
        <b/>
        <sz val="13"/>
        <color rgb="FFFFFFFF"/>
        <rFont val="Arial"/>
        <charset val="1"/>
      </rPr>
      <t>Checklist</t>
    </r>
  </si>
  <si>
    <r>
      <rPr>
        <i/>
        <sz val="9"/>
        <color rgb="FF888888"/>
        <rFont val="DejaVu Sans"/>
        <family val="2"/>
      </rPr>
      <t xml:space="preserve">婚禮日期（請在甘特圖分頁的 </t>
    </r>
    <r>
      <rPr>
        <i/>
        <sz val="9"/>
        <color rgb="FF888888"/>
        <rFont val="Arial"/>
        <charset val="1"/>
      </rPr>
      <t xml:space="preserve">C2 </t>
    </r>
    <r>
      <rPr>
        <i/>
        <sz val="9"/>
        <color rgb="FF888888"/>
        <rFont val="DejaVu Sans"/>
        <family val="2"/>
      </rPr>
      <t>格修改）→ 本頁「到期日」欄位將自動更新</t>
    </r>
  </si>
  <si>
    <r>
      <rPr>
        <sz val="9"/>
        <color rgb="FF4A1942"/>
        <rFont val="DejaVu Sans"/>
        <family val="2"/>
      </rPr>
      <t xml:space="preserve">🔴 逾期（到期日 </t>
    </r>
    <r>
      <rPr>
        <sz val="9"/>
        <color rgb="FF4A1942"/>
        <rFont val="Arial"/>
        <charset val="1"/>
      </rPr>
      <t xml:space="preserve">&lt; </t>
    </r>
    <r>
      <rPr>
        <sz val="9"/>
        <color rgb="FF4A1942"/>
        <rFont val="DejaVu Sans"/>
        <family val="2"/>
      </rPr>
      <t>今天）  🟡 即將到期（≤</t>
    </r>
    <r>
      <rPr>
        <sz val="9"/>
        <color rgb="FF4A1942"/>
        <rFont val="Arial"/>
        <charset val="1"/>
      </rPr>
      <t>30</t>
    </r>
    <r>
      <rPr>
        <sz val="9"/>
        <color rgb="FF4A1942"/>
        <rFont val="DejaVu Sans"/>
        <family val="2"/>
      </rPr>
      <t>天）  🟢 正常</t>
    </r>
  </si>
  <si>
    <t>完成</t>
  </si>
  <si>
    <t>項目說明</t>
  </si>
  <si>
    <t>負責方</t>
  </si>
  <si>
    <r>
      <rPr>
        <b/>
        <sz val="9"/>
        <color rgb="FFFFFFFF"/>
        <rFont val="DejaVu Sans"/>
        <family val="2"/>
      </rPr>
      <t>說明</t>
    </r>
    <r>
      <rPr>
        <b/>
        <sz val="9"/>
        <color rgb="FFFFFFFF"/>
        <rFont val="Arial"/>
        <charset val="1"/>
      </rPr>
      <t>Deadline</t>
    </r>
  </si>
  <si>
    <t>到期日</t>
  </si>
  <si>
    <t>狀態</t>
  </si>
  <si>
    <r>
      <rPr>
        <b/>
        <sz val="9"/>
        <color rgb="FFFFFFFF"/>
        <rFont val="DejaVu Sans"/>
        <family val="2"/>
      </rPr>
      <t>備註</t>
    </r>
    <r>
      <rPr>
        <b/>
        <sz val="9"/>
        <color rgb="FFFFFFFF"/>
        <rFont val="Arial"/>
        <charset val="1"/>
      </rPr>
      <t>/</t>
    </r>
    <r>
      <rPr>
        <b/>
        <sz val="9"/>
        <color rgb="FFFFFFFF"/>
        <rFont val="DejaVu Sans"/>
        <family val="2"/>
      </rPr>
      <t>台灣習俗說明</t>
    </r>
  </si>
  <si>
    <t>預算參考</t>
  </si>
  <si>
    <t>☐</t>
  </si>
  <si>
    <r>
      <rPr>
        <sz val="9"/>
        <rFont val="DejaVu Sans"/>
        <family val="2"/>
      </rPr>
      <t xml:space="preserve">求婚完成 </t>
    </r>
    <r>
      <rPr>
        <sz val="9"/>
        <rFont val="Arial"/>
        <charset val="1"/>
      </rPr>
      <t xml:space="preserve">(04/17 </t>
    </r>
    <r>
      <rPr>
        <sz val="9"/>
        <rFont val="DejaVu Sans"/>
        <family val="2"/>
      </rPr>
      <t>已完成</t>
    </r>
    <r>
      <rPr>
        <sz val="9"/>
        <rFont val="Arial"/>
        <charset val="1"/>
      </rPr>
      <t>)</t>
    </r>
  </si>
  <si>
    <t>雙方</t>
  </si>
  <si>
    <t>2026/04/17</t>
  </si>
  <si>
    <t>廖千儀已完成求婚！</t>
  </si>
  <si>
    <t>雙方家長見面面談</t>
  </si>
  <si>
    <t>2026/05/30</t>
  </si>
  <si>
    <t>確認雙方對婚禮的期望與形式</t>
  </si>
  <si>
    <r>
      <rPr>
        <sz val="9"/>
        <rFont val="DejaVu Sans"/>
        <family val="2"/>
      </rPr>
      <t>確定婚禮日期（查農民曆</t>
    </r>
    <r>
      <rPr>
        <sz val="9"/>
        <rFont val="Arial"/>
        <charset val="1"/>
      </rPr>
      <t>/</t>
    </r>
    <r>
      <rPr>
        <sz val="9"/>
        <rFont val="DejaVu Sans"/>
        <family val="2"/>
      </rPr>
      <t>擇日師）</t>
    </r>
  </si>
  <si>
    <t>2026/06/30</t>
  </si>
  <si>
    <t>台灣重視吉日，可請擇日師選擇良辰吉日</t>
  </si>
  <si>
    <r>
      <rPr>
        <sz val="8"/>
        <color rgb="FF666666"/>
        <rFont val="DejaVu Sans"/>
        <family val="2"/>
      </rPr>
      <t>擇日師約</t>
    </r>
    <r>
      <rPr>
        <sz val="8"/>
        <color rgb="FF666666"/>
        <rFont val="Arial"/>
        <charset val="1"/>
      </rPr>
      <t>NT$2,000-5,000</t>
    </r>
  </si>
  <si>
    <t>確認婚禮總預算與分攤方式</t>
  </si>
  <si>
    <t>台灣傳統男方負擔婚宴較多，現代多依雙方協議分攤</t>
  </si>
  <si>
    <t>各自</t>
  </si>
  <si>
    <r>
      <rPr>
        <i/>
        <sz val="8"/>
        <color rgb="FF444444"/>
        <rFont val="DejaVu Sans"/>
        <family val="2"/>
      </rPr>
      <t>依場地容量決定桌數，台灣喜宴通常</t>
    </r>
    <r>
      <rPr>
        <i/>
        <sz val="8"/>
        <color rgb="FF444444"/>
        <rFont val="Arial"/>
        <charset val="1"/>
      </rPr>
      <t>10</t>
    </r>
    <r>
      <rPr>
        <i/>
        <sz val="8"/>
        <color rgb="FF444444"/>
        <rFont val="DejaVu Sans"/>
        <family val="2"/>
      </rPr>
      <t>人</t>
    </r>
    <r>
      <rPr>
        <i/>
        <sz val="8"/>
        <color rgb="FF444444"/>
        <rFont val="Arial"/>
        <charset val="1"/>
      </rPr>
      <t>/</t>
    </r>
    <r>
      <rPr>
        <i/>
        <sz val="8"/>
        <color rgb="FF444444"/>
        <rFont val="DejaVu Sans"/>
        <family val="2"/>
      </rPr>
      <t>桌</t>
    </r>
  </si>
  <si>
    <r>
      <rPr>
        <sz val="9"/>
        <rFont val="DejaVu Sans"/>
        <family val="2"/>
      </rPr>
      <t>確定婚宴形式（飯店</t>
    </r>
    <r>
      <rPr>
        <sz val="9"/>
        <rFont val="Arial"/>
        <charset val="1"/>
      </rPr>
      <t>/</t>
    </r>
    <r>
      <rPr>
        <sz val="9"/>
        <rFont val="DejaVu Sans"/>
        <family val="2"/>
      </rPr>
      <t>餐廳</t>
    </r>
    <r>
      <rPr>
        <sz val="9"/>
        <rFont val="Arial"/>
        <charset val="1"/>
      </rPr>
      <t>/</t>
    </r>
    <r>
      <rPr>
        <sz val="9"/>
        <rFont val="DejaVu Sans"/>
        <family val="2"/>
      </rPr>
      <t>流水席）</t>
    </r>
  </si>
  <si>
    <t>飯店較正式，餐廳較輕鬆，流水席適合鄉村大家族</t>
  </si>
  <si>
    <t>2026/07/31</t>
  </si>
  <si>
    <r>
      <rPr>
        <i/>
        <sz val="8"/>
        <color rgb="FF444444"/>
        <rFont val="DejaVu Sans"/>
        <family val="2"/>
      </rPr>
      <t>熱門場地需提前</t>
    </r>
    <r>
      <rPr>
        <i/>
        <sz val="8"/>
        <color rgb="FF444444"/>
        <rFont val="Arial"/>
        <charset val="1"/>
      </rPr>
      <t>6-12</t>
    </r>
    <r>
      <rPr>
        <i/>
        <sz val="8"/>
        <color rgb="FF444444"/>
        <rFont val="DejaVu Sans"/>
        <family val="2"/>
      </rPr>
      <t>個月預訂，選完日期後立即預訂！</t>
    </r>
  </si>
  <si>
    <r>
      <rPr>
        <sz val="8"/>
        <color rgb="FF666666"/>
        <rFont val="DejaVu Sans"/>
        <family val="2"/>
      </rPr>
      <t>約</t>
    </r>
    <r>
      <rPr>
        <sz val="8"/>
        <color rgb="FF666666"/>
        <rFont val="Arial"/>
        <charset val="1"/>
      </rPr>
      <t>NT$1,000-3,000/</t>
    </r>
    <r>
      <rPr>
        <sz val="8"/>
        <color rgb="FF666666"/>
        <rFont val="DejaVu Sans"/>
        <family val="2"/>
      </rPr>
      <t>桌</t>
    </r>
  </si>
  <si>
    <t>預訂婚紗工作室（含拍婚紗照）</t>
  </si>
  <si>
    <r>
      <rPr>
        <i/>
        <sz val="8"/>
        <color rgb="FF444444"/>
        <rFont val="DejaVu Sans"/>
        <family val="2"/>
      </rPr>
      <t>建議比較</t>
    </r>
    <r>
      <rPr>
        <i/>
        <sz val="8"/>
        <color rgb="FF444444"/>
        <rFont val="Arial"/>
        <charset val="1"/>
      </rPr>
      <t>3-5</t>
    </r>
    <r>
      <rPr>
        <i/>
        <sz val="8"/>
        <color rgb="FF444444"/>
        <rFont val="DejaVu Sans"/>
        <family val="2"/>
      </rPr>
      <t>家婚紗工作室</t>
    </r>
  </si>
  <si>
    <r>
      <rPr>
        <sz val="8"/>
        <color rgb="FF666666"/>
        <rFont val="DejaVu Sans"/>
        <family val="2"/>
      </rPr>
      <t>套裝約</t>
    </r>
    <r>
      <rPr>
        <sz val="8"/>
        <color rgb="FF666666"/>
        <rFont val="Arial"/>
        <charset val="1"/>
      </rPr>
      <t>NT$30,000-100,000+</t>
    </r>
  </si>
  <si>
    <t>2026/08/31</t>
  </si>
  <si>
    <t>熱門攝影師需提前半年以上預訂</t>
  </si>
  <si>
    <r>
      <rPr>
        <sz val="8"/>
        <color rgb="FF666666"/>
        <rFont val="DejaVu Sans"/>
        <family val="2"/>
      </rPr>
      <t>約</t>
    </r>
    <r>
      <rPr>
        <sz val="8"/>
        <color rgb="FF666666"/>
        <rFont val="Arial"/>
        <charset val="1"/>
      </rPr>
      <t>NT$25,000-80,000</t>
    </r>
  </si>
  <si>
    <t>可錄製完整婚禮或只拍精華影片</t>
  </si>
  <si>
    <r>
      <rPr>
        <sz val="8"/>
        <color rgb="FF666666"/>
        <rFont val="DejaVu Sans"/>
        <family val="2"/>
      </rPr>
      <t>約</t>
    </r>
    <r>
      <rPr>
        <sz val="8"/>
        <color rgb="FF666666"/>
        <rFont val="Arial"/>
        <charset val="1"/>
      </rPr>
      <t>NT$15,000-50,000</t>
    </r>
  </si>
  <si>
    <t>女方</t>
  </si>
  <si>
    <t>好的新秘非常搶手，務必提早預訂！</t>
  </si>
  <si>
    <r>
      <rPr>
        <sz val="8"/>
        <color rgb="FF666666"/>
        <rFont val="DejaVu Sans"/>
        <family val="2"/>
      </rPr>
      <t>約</t>
    </r>
    <r>
      <rPr>
        <sz val="8"/>
        <color rgb="FF666666"/>
        <rFont val="Arial"/>
        <charset val="1"/>
      </rPr>
      <t>NT$10,000-25,000</t>
    </r>
  </si>
  <si>
    <t>可請熟識友人或聘請專業婚禮主持人</t>
  </si>
  <si>
    <r>
      <rPr>
        <sz val="8"/>
        <color rgb="FF666666"/>
        <rFont val="DejaVu Sans"/>
        <family val="2"/>
      </rPr>
      <t>專業主持約</t>
    </r>
    <r>
      <rPr>
        <sz val="8"/>
        <color rgb="FF666666"/>
        <rFont val="Arial"/>
        <charset val="1"/>
      </rPr>
      <t>NT$8,000-20,000</t>
    </r>
  </si>
  <si>
    <t>2026/09/30</t>
  </si>
  <si>
    <t>早鳥訂票，機票住宿越早越便宜</t>
  </si>
  <si>
    <t>依目的地</t>
  </si>
  <si>
    <t>準備結婚登記所需文件</t>
  </si>
  <si>
    <r>
      <rPr>
        <sz val="8"/>
        <rFont val="DejaVu Sans"/>
        <family val="2"/>
      </rPr>
      <t>婚禮前</t>
    </r>
    <r>
      <rPr>
        <sz val="8"/>
        <rFont val="Arial"/>
        <charset val="1"/>
      </rPr>
      <t>1</t>
    </r>
    <r>
      <rPr>
        <sz val="8"/>
        <rFont val="DejaVu Sans"/>
        <family val="2"/>
      </rPr>
      <t>個月</t>
    </r>
  </si>
  <si>
    <r>
      <rPr>
        <i/>
        <sz val="8"/>
        <color rgb="FF444444"/>
        <rFont val="DejaVu Sans"/>
        <family val="2"/>
      </rPr>
      <t>需準備：戶口名簿正本、身分證、印章、</t>
    </r>
    <r>
      <rPr>
        <i/>
        <sz val="8"/>
        <color rgb="FF444444"/>
        <rFont val="Arial"/>
        <charset val="1"/>
      </rPr>
      <t>2</t>
    </r>
    <r>
      <rPr>
        <i/>
        <sz val="8"/>
        <color rgb="FF444444"/>
        <rFont val="DejaVu Sans"/>
        <family val="2"/>
      </rPr>
      <t>位證人</t>
    </r>
  </si>
  <si>
    <t>免費</t>
  </si>
  <si>
    <t>婚禮當天</t>
  </si>
  <si>
    <t>台灣結婚登記為重要法律程序，勿遺忘！</t>
  </si>
  <si>
    <t>確認聘金金額（與雙方家長商議）</t>
  </si>
  <si>
    <t>男方</t>
  </si>
  <si>
    <t>台灣傳統習俗，男方給女方大聘，金額依雙方協議</t>
  </si>
  <si>
    <r>
      <rPr>
        <sz val="8"/>
        <color rgb="FF666666"/>
        <rFont val="DejaVu Sans"/>
        <family val="2"/>
      </rPr>
      <t>通常</t>
    </r>
    <r>
      <rPr>
        <sz val="8"/>
        <color rgb="FF666666"/>
        <rFont val="Arial"/>
        <charset val="1"/>
      </rPr>
      <t>NT$60,000-200,000+</t>
    </r>
  </si>
  <si>
    <t>準備聘禮（禮餅、糖果、罐頭等六禮）</t>
  </si>
  <si>
    <r>
      <rPr>
        <sz val="8"/>
        <rFont val="DejaVu Sans"/>
        <family val="2"/>
      </rPr>
      <t>婚禮前</t>
    </r>
    <r>
      <rPr>
        <sz val="8"/>
        <rFont val="Arial"/>
        <charset val="1"/>
      </rPr>
      <t>2</t>
    </r>
    <r>
      <rPr>
        <sz val="8"/>
        <rFont val="DejaVu Sans"/>
        <family val="2"/>
      </rPr>
      <t>個月</t>
    </r>
  </si>
  <si>
    <t>台灣傳統六禮，禮餅用於女方分送親友告知喜訊</t>
  </si>
  <si>
    <t>NT$10,000-30,000</t>
  </si>
  <si>
    <t>男方準備結婚對戒，依女方喜好選款，需提前訂製</t>
  </si>
  <si>
    <t>NT$20,000-100,000+</t>
  </si>
  <si>
    <r>
      <rPr>
        <sz val="9"/>
        <rFont val="DejaVu Sans"/>
        <family val="2"/>
      </rPr>
      <t>準備</t>
    </r>
    <r>
      <rPr>
        <sz val="9"/>
        <rFont val="Arial"/>
        <charset val="1"/>
      </rPr>
      <t>/</t>
    </r>
    <r>
      <rPr>
        <sz val="9"/>
        <rFont val="DejaVu Sans"/>
        <family val="2"/>
      </rPr>
      <t>租借西裝或禮服（建議兩套）</t>
    </r>
  </si>
  <si>
    <t>2026/10/31</t>
  </si>
  <si>
    <t>建議至少備兩套：迎娶西裝＋婚宴晚宴服</t>
  </si>
  <si>
    <r>
      <rPr>
        <sz val="8"/>
        <color rgb="FF666666"/>
        <rFont val="DejaVu Sans"/>
        <family val="2"/>
      </rPr>
      <t>租借</t>
    </r>
    <r>
      <rPr>
        <sz val="8"/>
        <color rgb="FF666666"/>
        <rFont val="Arial"/>
        <charset val="1"/>
      </rPr>
      <t>NT$3,000-8,000</t>
    </r>
  </si>
  <si>
    <t>規劃及布置婚房</t>
  </si>
  <si>
    <t>台灣傳統男方備婚房，喜被由女方嫁妝帶入</t>
  </si>
  <si>
    <t>依房況</t>
  </si>
  <si>
    <t>需準備新娘車＋隨行車隊，車頭綁紅緞帶</t>
  </si>
  <si>
    <r>
      <rPr>
        <sz val="8"/>
        <color rgb="FF666666"/>
        <rFont val="DejaVu Sans"/>
        <family val="2"/>
      </rPr>
      <t>主車</t>
    </r>
    <r>
      <rPr>
        <sz val="8"/>
        <color rgb="FF666666"/>
        <rFont val="Arial"/>
        <charset val="1"/>
      </rPr>
      <t>NT$5,000-15,000/</t>
    </r>
    <r>
      <rPr>
        <sz val="8"/>
        <color rgb="FF666666"/>
        <rFont val="DejaVu Sans"/>
        <family val="2"/>
      </rPr>
      <t>輛</t>
    </r>
  </si>
  <si>
    <t>準備新娘捧花</t>
  </si>
  <si>
    <r>
      <rPr>
        <sz val="8"/>
        <rFont val="DejaVu Sans"/>
        <family val="2"/>
      </rPr>
      <t>婚禮前</t>
    </r>
    <r>
      <rPr>
        <sz val="8"/>
        <rFont val="Arial"/>
        <charset val="1"/>
      </rPr>
      <t>1</t>
    </r>
    <r>
      <rPr>
        <sz val="8"/>
        <rFont val="DejaVu Sans"/>
        <family val="2"/>
      </rPr>
      <t>週</t>
    </r>
  </si>
  <si>
    <t>由男方準備新娘手捧花（玫瑰或牡丹）</t>
  </si>
  <si>
    <t>NT$2,000-5,000</t>
  </si>
  <si>
    <r>
      <rPr>
        <sz val="9"/>
        <rFont val="DejaVu Sans"/>
        <family val="2"/>
      </rPr>
      <t>準備迎娶紅包（開門紅包</t>
    </r>
    <r>
      <rPr>
        <sz val="9"/>
        <rFont val="Arial"/>
        <charset val="1"/>
      </rPr>
      <t>/</t>
    </r>
    <r>
      <rPr>
        <sz val="9"/>
        <rFont val="DejaVu Sans"/>
        <family val="2"/>
      </rPr>
      <t>壓桌錢）</t>
    </r>
  </si>
  <si>
    <t>開門紅包給女方弟妹，壓桌錢給女方家長</t>
  </si>
  <si>
    <t>NT$3,000-10,000</t>
  </si>
  <si>
    <t>準備迎娶祭祖供品</t>
  </si>
  <si>
    <r>
      <rPr>
        <sz val="8"/>
        <rFont val="DejaVu Sans"/>
        <family val="2"/>
      </rPr>
      <t>婚禮前</t>
    </r>
    <r>
      <rPr>
        <sz val="8"/>
        <rFont val="Arial"/>
        <charset val="1"/>
      </rPr>
      <t>3</t>
    </r>
    <r>
      <rPr>
        <sz val="8"/>
        <rFont val="DejaVu Sans"/>
        <family val="2"/>
      </rPr>
      <t>天</t>
    </r>
  </si>
  <si>
    <t>出發迎娶前在男方家祭祖，準備三牲或簡單供品及香燭</t>
  </si>
  <si>
    <t>NT$1,000-3,000</t>
  </si>
  <si>
    <r>
      <rPr>
        <sz val="9"/>
        <rFont val="DejaVu Sans"/>
        <family val="2"/>
      </rPr>
      <t>挑選婚紗（白紗</t>
    </r>
    <r>
      <rPr>
        <sz val="9"/>
        <rFont val="Arial"/>
        <charset val="1"/>
      </rPr>
      <t>/</t>
    </r>
    <r>
      <rPr>
        <sz val="9"/>
        <rFont val="DejaVu Sans"/>
        <family val="2"/>
      </rPr>
      <t>禮服）及試穿</t>
    </r>
  </si>
  <si>
    <t>婚紗工作室提供多套禮服試穿，可選白紗＋晚宴服</t>
  </si>
  <si>
    <t>含婚紗套裝費用</t>
  </si>
  <si>
    <t>新娘試妝（與新秘確認造型方向）</t>
  </si>
  <si>
    <r>
      <rPr>
        <sz val="8"/>
        <rFont val="DejaVu Sans"/>
        <family val="2"/>
      </rPr>
      <t>婚禮前</t>
    </r>
    <r>
      <rPr>
        <sz val="8"/>
        <rFont val="Arial"/>
        <charset val="1"/>
      </rPr>
      <t>1-2</t>
    </r>
    <r>
      <rPr>
        <sz val="8"/>
        <rFont val="DejaVu Sans"/>
        <family val="2"/>
      </rPr>
      <t>個月</t>
    </r>
  </si>
  <si>
    <t>提前試妝確認妝容顏色、持久度，讓新秘了解喜好</t>
  </si>
  <si>
    <t>通常含在新秘費用中</t>
  </si>
  <si>
    <t>準備嫁妝（棉被、臉盆、傳統物品）</t>
  </si>
  <si>
    <t>台灣傳統嫁妝含新棉被、臉盆（內放四喜果）等</t>
  </si>
  <si>
    <t>NT$10,000-50,000</t>
  </si>
  <si>
    <t>準備子孫桶（台灣傳統嫁妝）</t>
  </si>
  <si>
    <t>內放桂圓、花生、瓜子等，象徵多子多孫</t>
  </si>
  <si>
    <t>準備出嫁扇子（過門扇）</t>
  </si>
  <si>
    <t>出門上車前向後丟扇；車內需另備一把扇子</t>
  </si>
  <si>
    <t>NT$200-500</t>
  </si>
  <si>
    <t>規劃出嫁當天儀式流程</t>
  </si>
  <si>
    <t>梳妝→等待迎娶→開門→拜別父母（哭嫁）→丟扇→出發</t>
  </si>
  <si>
    <t>建議婚禮半年前完成，以利製作婚禮投影等素材</t>
  </si>
  <si>
    <t>含婚紗套裝</t>
  </si>
  <si>
    <t>設計婚禮喜帖</t>
  </si>
  <si>
    <t>2026/10/15</t>
  </si>
  <si>
    <t>可客製化設計或選用婚紗工作室模板</t>
  </si>
  <si>
    <t>NT$3,000-15,000</t>
  </si>
  <si>
    <r>
      <rPr>
        <sz val="9"/>
        <rFont val="DejaVu Sans"/>
        <family val="2"/>
      </rPr>
      <t>印製喜帖（多印</t>
    </r>
    <r>
      <rPr>
        <sz val="9"/>
        <rFont val="Arial"/>
        <charset val="1"/>
      </rPr>
      <t>10-20</t>
    </r>
    <r>
      <rPr>
        <sz val="9"/>
        <rFont val="DejaVu Sans"/>
        <family val="2"/>
      </rPr>
      <t>張備用）</t>
    </r>
  </si>
  <si>
    <r>
      <rPr>
        <sz val="8"/>
        <color rgb="FF666666"/>
        <rFont val="Arial"/>
        <charset val="1"/>
      </rPr>
      <t>NT$5-20/</t>
    </r>
    <r>
      <rPr>
        <sz val="8"/>
        <color rgb="FF666666"/>
        <rFont val="DejaVu Sans"/>
        <family val="2"/>
      </rPr>
      <t>張</t>
    </r>
  </si>
  <si>
    <r>
      <rPr>
        <sz val="9"/>
        <rFont val="DejaVu Sans"/>
        <family val="2"/>
      </rPr>
      <t>寄送喜帖（婚禮前</t>
    </r>
    <r>
      <rPr>
        <sz val="9"/>
        <rFont val="Arial"/>
        <charset val="1"/>
      </rPr>
      <t>6-8</t>
    </r>
    <r>
      <rPr>
        <sz val="9"/>
        <rFont val="DejaVu Sans"/>
        <family val="2"/>
      </rPr>
      <t>週）</t>
    </r>
  </si>
  <si>
    <r>
      <rPr>
        <sz val="8"/>
        <rFont val="DejaVu Sans"/>
        <family val="2"/>
      </rPr>
      <t>婚禮前</t>
    </r>
    <r>
      <rPr>
        <sz val="8"/>
        <rFont val="Arial"/>
        <charset val="1"/>
      </rPr>
      <t>6</t>
    </r>
    <r>
      <rPr>
        <sz val="8"/>
        <rFont val="DejaVu Sans"/>
        <family val="2"/>
      </rPr>
      <t>週</t>
    </r>
  </si>
  <si>
    <t>台灣習慣親手遞送或郵寄，過早或過晚都不禮貌</t>
  </si>
  <si>
    <t>郵資費用</t>
  </si>
  <si>
    <r>
      <rPr>
        <sz val="9"/>
        <rFont val="DejaVu Sans"/>
        <family val="2"/>
      </rPr>
      <t>製作婚禮投影（照片</t>
    </r>
    <r>
      <rPr>
        <sz val="9"/>
        <rFont val="Arial"/>
        <charset val="1"/>
      </rPr>
      <t>MV</t>
    </r>
    <r>
      <rPr>
        <sz val="9"/>
        <rFont val="DejaVu Sans"/>
        <family val="2"/>
      </rPr>
      <t>）</t>
    </r>
  </si>
  <si>
    <t>播放於婚宴進場時，呈現兩人戀愛故事</t>
  </si>
  <si>
    <r>
      <rPr>
        <sz val="8"/>
        <color rgb="FF666666"/>
        <rFont val="Arial"/>
        <charset val="1"/>
      </rPr>
      <t>NT$3,000-8,000</t>
    </r>
    <r>
      <rPr>
        <sz val="8"/>
        <color rgb="FF666666"/>
        <rFont val="DejaVu Sans"/>
        <family val="2"/>
      </rPr>
      <t>（外製）</t>
    </r>
  </si>
  <si>
    <t>確認婚宴菜單與桌數</t>
  </si>
  <si>
    <t>與餐廳確認菜色、素食桌需求、酒水安排</t>
  </si>
  <si>
    <r>
      <rPr>
        <sz val="9"/>
        <rFont val="DejaVu Sans"/>
        <family val="2"/>
      </rPr>
      <t>準備喜糖</t>
    </r>
    <r>
      <rPr>
        <sz val="9"/>
        <rFont val="Arial"/>
        <charset val="1"/>
      </rPr>
      <t>/</t>
    </r>
    <r>
      <rPr>
        <sz val="9"/>
        <rFont val="DejaVu Sans"/>
        <family val="2"/>
      </rPr>
      <t>囍餅（婚禮回禮）</t>
    </r>
  </si>
  <si>
    <r>
      <rPr>
        <sz val="8"/>
        <rFont val="DejaVu Sans"/>
        <family val="2"/>
      </rPr>
      <t>婚禮前</t>
    </r>
    <r>
      <rPr>
        <sz val="8"/>
        <rFont val="Arial"/>
        <charset val="1"/>
      </rPr>
      <t>2</t>
    </r>
    <r>
      <rPr>
        <sz val="8"/>
        <rFont val="DejaVu Sans"/>
        <family val="2"/>
      </rPr>
      <t>週</t>
    </r>
  </si>
  <si>
    <t>準備給未出席親友的喜糖，或席間回禮</t>
  </si>
  <si>
    <r>
      <rPr>
        <sz val="8"/>
        <color rgb="FF666666"/>
        <rFont val="Arial"/>
        <charset val="1"/>
      </rPr>
      <t>NT$100-300/</t>
    </r>
    <r>
      <rPr>
        <sz val="8"/>
        <color rgb="FF666666"/>
        <rFont val="DejaVu Sans"/>
        <family val="2"/>
      </rPr>
      <t>份</t>
    </r>
  </si>
  <si>
    <r>
      <rPr>
        <sz val="9"/>
        <rFont val="DejaVu Sans"/>
        <family val="2"/>
      </rPr>
      <t>準備桌上禮</t>
    </r>
    <r>
      <rPr>
        <sz val="9"/>
        <rFont val="Arial"/>
        <charset val="1"/>
      </rPr>
      <t>/</t>
    </r>
    <r>
      <rPr>
        <sz val="9"/>
        <rFont val="DejaVu Sans"/>
        <family val="2"/>
      </rPr>
      <t>小物（選配）</t>
    </r>
  </si>
  <si>
    <t>為每桌準備小禮物，如香氛蠟燭、客製化小物</t>
  </si>
  <si>
    <r>
      <rPr>
        <sz val="8"/>
        <color rgb="FF666666"/>
        <rFont val="Arial"/>
        <charset val="1"/>
      </rPr>
      <t>NT$100-500/</t>
    </r>
    <r>
      <rPr>
        <sz val="8"/>
        <color rgb="FF666666"/>
        <rFont val="DejaVu Sans"/>
        <family val="2"/>
      </rPr>
      <t>桌</t>
    </r>
  </si>
  <si>
    <r>
      <rPr>
        <sz val="9"/>
        <rFont val="DejaVu Sans"/>
        <family val="2"/>
      </rPr>
      <t>確認音響</t>
    </r>
    <r>
      <rPr>
        <sz val="9"/>
        <rFont val="Arial"/>
        <charset val="1"/>
      </rPr>
      <t>/</t>
    </r>
    <r>
      <rPr>
        <sz val="9"/>
        <rFont val="DejaVu Sans"/>
        <family val="2"/>
      </rPr>
      <t>燈光設備</t>
    </r>
  </si>
  <si>
    <t>確認場地是否含音響燈光，如需外租提前安排</t>
  </si>
  <si>
    <t>NT$5,000-15,000</t>
  </si>
  <si>
    <t>製作婚禮座位表與桌卡</t>
  </si>
  <si>
    <t>依賓客關係安排桌位，印製桌卡</t>
  </si>
  <si>
    <t>確認場地最終細節與桌位安排</t>
  </si>
  <si>
    <t>確認進場動線、佈置、花藝、投影設備等</t>
  </si>
  <si>
    <t>製作婚禮當天完整行程表</t>
  </si>
  <si>
    <t>含迎娶時間、婚宴開始、各段流程時間點</t>
  </si>
  <si>
    <t>婚宴彩排（與司儀、場地確認）</t>
  </si>
  <si>
    <t>確認流程、測試投影音響</t>
  </si>
  <si>
    <t>整理賓客最終名單並回報場地</t>
  </si>
  <si>
    <t>確認最終出席人數，通知場地備餐數量</t>
  </si>
  <si>
    <t>分配婚禮當天工作給親友</t>
  </si>
  <si>
    <t>收禮金人員、帶位人員、婚禮道具管理等</t>
  </si>
  <si>
    <r>
      <rPr>
        <sz val="9"/>
        <rFont val="DejaVu Sans"/>
        <family val="2"/>
      </rPr>
      <t xml:space="preserve">結婚典禮 </t>
    </r>
    <r>
      <rPr>
        <sz val="9"/>
        <rFont val="Arial"/>
        <charset val="1"/>
      </rPr>
      <t xml:space="preserve">&amp; </t>
    </r>
    <r>
      <rPr>
        <sz val="9"/>
        <rFont val="DejaVu Sans"/>
        <family val="2"/>
      </rPr>
      <t>婚宴</t>
    </r>
  </si>
  <si>
    <t>迎娶→法律登記→婚宴進場→謝親恩→送客</t>
  </si>
  <si>
    <t>婚後</t>
  </si>
  <si>
    <t>提前訂好機票與住宿</t>
  </si>
  <si>
    <r>
      <rPr>
        <sz val="8"/>
        <rFont val="DejaVu Sans"/>
        <family val="2"/>
      </rPr>
      <t>婚後</t>
    </r>
    <r>
      <rPr>
        <sz val="8"/>
        <rFont val="Arial"/>
        <charset val="1"/>
      </rPr>
      <t>3</t>
    </r>
    <r>
      <rPr>
        <sz val="8"/>
        <rFont val="DejaVu Sans"/>
        <family val="2"/>
      </rPr>
      <t>天內</t>
    </r>
  </si>
  <si>
    <r>
      <rPr>
        <i/>
        <sz val="8"/>
        <color rgb="FF444444"/>
        <rFont val="DejaVu Sans"/>
        <family val="2"/>
      </rPr>
      <t>台灣習俗：婚後第</t>
    </r>
    <r>
      <rPr>
        <i/>
        <sz val="8"/>
        <color rgb="FF444444"/>
        <rFont val="Arial"/>
        <charset val="1"/>
      </rPr>
      <t>3</t>
    </r>
    <r>
      <rPr>
        <i/>
        <sz val="8"/>
        <color rgb="FF444444"/>
        <rFont val="DejaVu Sans"/>
        <family val="2"/>
      </rPr>
      <t>天夫妻一同回娘家，帶雞腿，不可在娘家過夜</t>
    </r>
  </si>
  <si>
    <t>更新身分證（如女方改姓）</t>
  </si>
  <si>
    <r>
      <rPr>
        <sz val="8"/>
        <rFont val="DejaVu Sans"/>
        <family val="2"/>
      </rPr>
      <t>婚後</t>
    </r>
    <r>
      <rPr>
        <sz val="8"/>
        <rFont val="Arial"/>
        <charset val="1"/>
      </rPr>
      <t>1</t>
    </r>
    <r>
      <rPr>
        <sz val="8"/>
        <rFont val="DejaVu Sans"/>
        <family val="2"/>
      </rPr>
      <t>個月</t>
    </r>
  </si>
  <si>
    <t>到戶政事務所辦理，帶身分證、戶口名簿</t>
  </si>
  <si>
    <t>更換護照（如有改姓）</t>
  </si>
  <si>
    <r>
      <rPr>
        <sz val="8"/>
        <rFont val="DejaVu Sans"/>
        <family val="2"/>
      </rPr>
      <t>婚後</t>
    </r>
    <r>
      <rPr>
        <sz val="8"/>
        <rFont val="Arial"/>
        <charset val="1"/>
      </rPr>
      <t>2</t>
    </r>
    <r>
      <rPr>
        <sz val="8"/>
        <rFont val="DejaVu Sans"/>
        <family val="2"/>
      </rPr>
      <t>個月</t>
    </r>
  </si>
  <si>
    <t>先完成身分證更名，再至外交部申請新護照</t>
  </si>
  <si>
    <t>NT$900-1,300</t>
  </si>
  <si>
    <t>寄送感謝卡給親友</t>
  </si>
  <si>
    <t>表達感謝，可附上婚禮照片</t>
  </si>
  <si>
    <r>
      <rPr>
        <sz val="8"/>
        <color rgb="FF666666"/>
        <rFont val="Arial"/>
        <charset val="1"/>
      </rPr>
      <t>NT$20-50/</t>
    </r>
    <r>
      <rPr>
        <sz val="8"/>
        <color rgb="FF666666"/>
        <rFont val="DejaVu Sans"/>
        <family val="2"/>
      </rPr>
      <t>張</t>
    </r>
  </si>
  <si>
    <r>
      <rPr>
        <sz val="9"/>
        <rFont val="DejaVu Sans"/>
        <family val="2"/>
      </rPr>
      <t>洗印婚禮照片</t>
    </r>
    <r>
      <rPr>
        <sz val="9"/>
        <rFont val="Arial"/>
        <charset val="1"/>
      </rPr>
      <t>/</t>
    </r>
    <r>
      <rPr>
        <sz val="9"/>
        <rFont val="DejaVu Sans"/>
        <family val="2"/>
      </rPr>
      <t>製作紀念相本</t>
    </r>
  </si>
  <si>
    <r>
      <rPr>
        <sz val="8"/>
        <rFont val="DejaVu Sans"/>
        <family val="2"/>
      </rPr>
      <t>婚後</t>
    </r>
    <r>
      <rPr>
        <sz val="8"/>
        <rFont val="Arial"/>
        <charset val="1"/>
      </rPr>
      <t>2-3</t>
    </r>
    <r>
      <rPr>
        <sz val="8"/>
        <rFont val="DejaVu Sans"/>
        <family val="2"/>
      </rPr>
      <t>個月</t>
    </r>
  </si>
  <si>
    <t>與攝影師確認交稿時間，製作紀念相本</t>
  </si>
  <si>
    <t>NT$5,000-20,000</t>
  </si>
  <si>
    <t>💙 廖千儀（男方）專屬清單｜台灣婚禮習俗</t>
  </si>
  <si>
    <r>
      <rPr>
        <i/>
        <sz val="9"/>
        <color rgb="FF555555"/>
        <rFont val="DejaVu Sans"/>
        <family val="2"/>
      </rPr>
      <t xml:space="preserve">到期日參照甘特圖 </t>
    </r>
    <r>
      <rPr>
        <i/>
        <sz val="9"/>
        <color rgb="FF555555"/>
        <rFont val="Arial"/>
        <charset val="1"/>
      </rPr>
      <t xml:space="preserve">C2 </t>
    </r>
    <r>
      <rPr>
        <i/>
        <sz val="9"/>
        <color rgb="FF555555"/>
        <rFont val="DejaVu Sans"/>
        <family val="2"/>
      </rPr>
      <t>婚禮日期自動計算｜請去甘特圖分頁修改婚禮日期</t>
    </r>
  </si>
  <si>
    <t>準備項目</t>
  </si>
  <si>
    <r>
      <rPr>
        <b/>
        <sz val="9"/>
        <color rgb="FFFFFFFF"/>
        <rFont val="DejaVu Sans"/>
        <family val="2"/>
      </rPr>
      <t xml:space="preserve">說明 </t>
    </r>
    <r>
      <rPr>
        <b/>
        <sz val="9"/>
        <color rgb="FFFFFFFF"/>
        <rFont val="Arial"/>
        <charset val="1"/>
      </rPr>
      <t xml:space="preserve">/ </t>
    </r>
    <r>
      <rPr>
        <b/>
        <sz val="9"/>
        <color rgb="FFFFFFFF"/>
        <rFont val="DejaVu Sans"/>
        <family val="2"/>
      </rPr>
      <t>台灣習俗</t>
    </r>
  </si>
  <si>
    <t>時間要求</t>
  </si>
  <si>
    <t>提親談婚</t>
  </si>
  <si>
    <t>主導家長面談（提親）</t>
  </si>
  <si>
    <t>台灣傳統由男方主導，雙方家長一同見面商議婚事</t>
  </si>
  <si>
    <t>固定日期</t>
  </si>
  <si>
    <t>確認婚期（與長輩商議吉日）</t>
  </si>
  <si>
    <t>台灣重視農民曆吉日，婚期需雙方家長確認</t>
  </si>
  <si>
    <t>聘禮準備</t>
  </si>
  <si>
    <t>聘金（大聘）是台灣傳統，表達對女方家庭的尊重</t>
  </si>
  <si>
    <r>
      <rPr>
        <sz val="9"/>
        <rFont val="DejaVu Sans"/>
        <family val="2"/>
      </rPr>
      <t>準備聘禮（六禮</t>
    </r>
    <r>
      <rPr>
        <sz val="9"/>
        <rFont val="Arial"/>
        <charset val="1"/>
      </rPr>
      <t>/</t>
    </r>
    <r>
      <rPr>
        <sz val="9"/>
        <rFont val="DejaVu Sans"/>
        <family val="2"/>
      </rPr>
      <t>十二禮）</t>
    </r>
  </si>
  <si>
    <t>基本聘禮：禮餅、糖果、罐頭、豬肉、酒等</t>
  </si>
  <si>
    <t>訂製禮餅（分送女方親友用）</t>
  </si>
  <si>
    <t>女方收禮餅後分送親友告知喜訊</t>
  </si>
  <si>
    <t>婚戒準備</t>
  </si>
  <si>
    <r>
      <rPr>
        <i/>
        <sz val="8"/>
        <color rgb="FF444444"/>
        <rFont val="DejaVu Sans"/>
        <family val="2"/>
      </rPr>
      <t>男方準備結婚對戒，提前挑選，部分需</t>
    </r>
    <r>
      <rPr>
        <i/>
        <sz val="8"/>
        <color rgb="FF444444"/>
        <rFont val="Arial"/>
        <charset val="1"/>
      </rPr>
      <t>4-8</t>
    </r>
    <r>
      <rPr>
        <i/>
        <sz val="8"/>
        <color rgb="FF444444"/>
        <rFont val="DejaVu Sans"/>
        <family val="2"/>
      </rPr>
      <t>週製作</t>
    </r>
  </si>
  <si>
    <t>婚房準備</t>
  </si>
  <si>
    <t>確定婚後居住地點</t>
  </si>
  <si>
    <t>台灣傳統男方備婚房，現代多依兩人協議</t>
  </si>
  <si>
    <t>婚房布置（基本傢俱、臥室）</t>
  </si>
  <si>
    <t>喜被由女方嫁妝帶入，男方需備床架、床墊等基本設施</t>
  </si>
  <si>
    <t>迎娶準備</t>
  </si>
  <si>
    <t>準備鞭炮（依地區習俗）</t>
  </si>
  <si>
    <t>部分縣市有燃放限制，請先確認當地規定</t>
  </si>
  <si>
    <t>NT$500-2,000</t>
  </si>
  <si>
    <t>迎娶儀式</t>
  </si>
  <si>
    <t>熟記迎娶當天完整流程</t>
  </si>
  <si>
    <t>①男方祭祖→②車隊出發→③到女方家→④開門紅包→⑤接新娘→⑥拜別父母→⑦新娘丟扇→⑧返回</t>
  </si>
  <si>
    <t>服裝準備</t>
  </si>
  <si>
    <r>
      <rPr>
        <sz val="9"/>
        <rFont val="DejaVu Sans"/>
        <family val="2"/>
      </rPr>
      <t>準備西裝</t>
    </r>
    <r>
      <rPr>
        <sz val="9"/>
        <rFont val="Arial"/>
        <charset val="1"/>
      </rPr>
      <t>/</t>
    </r>
    <r>
      <rPr>
        <sz val="9"/>
        <rFont val="DejaVu Sans"/>
        <family val="2"/>
      </rPr>
      <t>禮服（建議兩套）</t>
    </r>
  </si>
  <si>
    <t>迎娶西裝＋婚宴晚宴服，可購買或租借</t>
  </si>
  <si>
    <t>婚宴籌備</t>
  </si>
  <si>
    <t>主導婚宴場地選定與預訂</t>
  </si>
  <si>
    <t>台灣傳統男方主辦婚宴</t>
  </si>
  <si>
    <t>確認婚宴男方賓客名單</t>
  </si>
  <si>
    <t>列出男方親戚、同學、同事，確認參加意願</t>
  </si>
  <si>
    <t>確認婚宴流程與主持人</t>
  </si>
  <si>
    <t>與主持人確認進場方式、換裝時間、謝親恩等環節</t>
  </si>
  <si>
    <t>🌸 陳郁諠（女方）專屬清單｜台灣婚禮習俗</t>
  </si>
  <si>
    <t>婚紗造型</t>
  </si>
  <si>
    <t>預約新娘秘書（新秘）⚡</t>
  </si>
  <si>
    <t>新秘負責婚禮當天髮妝，好的新秘非常搶手，務必提早！</t>
  </si>
  <si>
    <t>NT$10,000-25,000</t>
  </si>
  <si>
    <t>準備婚禮當天配件（耳環、項鍊等）</t>
  </si>
  <si>
    <t>可搭配婚紗工作室飾品或自行準備</t>
  </si>
  <si>
    <t>嫁妝準備</t>
  </si>
  <si>
    <t>確認嫁妝清單（與家長商議）</t>
  </si>
  <si>
    <t>台灣傳統嫁妝象徵娘家祝福，現代多象徵性準備</t>
  </si>
  <si>
    <t>準備新棉被（喜被）</t>
  </si>
  <si>
    <r>
      <rPr>
        <i/>
        <sz val="8"/>
        <color rgb="FF444444"/>
        <rFont val="DejaVu Sans"/>
        <family val="2"/>
      </rPr>
      <t>台灣習俗新娘帶新被褥入婚房，現代多準備</t>
    </r>
    <r>
      <rPr>
        <i/>
        <sz val="8"/>
        <color rgb="FF444444"/>
        <rFont val="Arial"/>
        <charset val="1"/>
      </rPr>
      <t>2-4</t>
    </r>
    <r>
      <rPr>
        <i/>
        <sz val="8"/>
        <color rgb="FF444444"/>
        <rFont val="DejaVu Sans"/>
        <family val="2"/>
      </rPr>
      <t>套</t>
    </r>
  </si>
  <si>
    <t>準備傳統嫁妝物品（臉盆組等）</t>
  </si>
  <si>
    <t>臉盆內放桂圓、紅棗、花生、瓜子（四喜）＋剪刀、尺、梳子</t>
  </si>
  <si>
    <t>準備子孫桶（傳統嫁妝之一）</t>
  </si>
  <si>
    <t>出嫁儀式</t>
  </si>
  <si>
    <t>了解出嫁當天完整流程</t>
  </si>
  <si>
    <t>拜別父母儀式（哭嫁）準備</t>
  </si>
  <si>
    <t>向父母行禮拜謝，此時落淚為佳</t>
  </si>
  <si>
    <t>記住：出嫁後不可回頭張望</t>
  </si>
  <si>
    <t>台灣習俗，象徵對婚後生活一心一意</t>
  </si>
  <si>
    <t>婚後回門</t>
  </si>
  <si>
    <r>
      <rPr>
        <sz val="9"/>
        <rFont val="DejaVu Sans"/>
        <family val="2"/>
      </rPr>
      <t>歸寧準備（婚後</t>
    </r>
    <r>
      <rPr>
        <sz val="9"/>
        <rFont val="Arial"/>
        <charset val="1"/>
      </rPr>
      <t>3</t>
    </r>
    <r>
      <rPr>
        <sz val="9"/>
        <rFont val="DejaVu Sans"/>
        <family val="2"/>
      </rPr>
      <t>天回娘家）</t>
    </r>
  </si>
  <si>
    <r>
      <rPr>
        <i/>
        <sz val="8"/>
        <color rgb="FF444444"/>
        <rFont val="DejaVu Sans"/>
        <family val="2"/>
      </rPr>
      <t>台灣習俗婚後第</t>
    </r>
    <r>
      <rPr>
        <i/>
        <sz val="8"/>
        <color rgb="FF444444"/>
        <rFont val="Arial"/>
        <charset val="1"/>
      </rPr>
      <t>3</t>
    </r>
    <r>
      <rPr>
        <i/>
        <sz val="8"/>
        <color rgb="FF444444"/>
        <rFont val="DejaVu Sans"/>
        <family val="2"/>
      </rPr>
      <t>天夫妻一同回娘家「歸寧」</t>
    </r>
  </si>
  <si>
    <r>
      <rPr>
        <sz val="8"/>
        <rFont val="DejaVu Sans"/>
        <family val="2"/>
      </rPr>
      <t>婚後</t>
    </r>
    <r>
      <rPr>
        <sz val="8"/>
        <rFont val="Arial"/>
        <charset val="1"/>
      </rPr>
      <t>3</t>
    </r>
    <r>
      <rPr>
        <sz val="8"/>
        <rFont val="DejaVu Sans"/>
        <family val="2"/>
      </rPr>
      <t>天</t>
    </r>
  </si>
  <si>
    <t>準備雞腿帶回娘家</t>
  </si>
  <si>
    <t>台灣習俗歸寧要帶雞腿，且不可在娘家過夜</t>
  </si>
  <si>
    <t>婚後手續</t>
  </si>
  <si>
    <t>辦理姓氏更改（如決定改姓）</t>
  </si>
  <si>
    <r>
      <rPr>
        <sz val="9"/>
        <rFont val="DejaVu Sans"/>
        <family val="2"/>
      </rPr>
      <t>通知銀行</t>
    </r>
    <r>
      <rPr>
        <sz val="9"/>
        <rFont val="Arial"/>
        <charset val="1"/>
      </rPr>
      <t>/</t>
    </r>
    <r>
      <rPr>
        <sz val="9"/>
        <rFont val="DejaVu Sans"/>
        <family val="2"/>
      </rPr>
      <t>保險等機構更名</t>
    </r>
  </si>
  <si>
    <t>銀行帳戶、保險契約、信用卡等（如改姓）</t>
  </si>
  <si>
    <r>
      <rPr>
        <sz val="8"/>
        <rFont val="DejaVu Sans"/>
        <family val="2"/>
      </rPr>
      <t>婚後</t>
    </r>
    <r>
      <rPr>
        <sz val="8"/>
        <rFont val="Arial"/>
        <charset val="1"/>
      </rPr>
      <t>3</t>
    </r>
    <r>
      <rPr>
        <sz val="8"/>
        <rFont val="DejaVu Sans"/>
        <family val="2"/>
      </rPr>
      <t>個月</t>
    </r>
  </si>
  <si>
    <t>📖 廖千儀 ♥ 陳郁諠 婚禮規劃工具  使用說明</t>
  </si>
  <si>
    <r>
      <rPr>
        <i/>
        <sz val="9"/>
        <color rgb="FF888888"/>
        <rFont val="DejaVu Sans"/>
        <family val="2"/>
      </rPr>
      <t xml:space="preserve">本說明書隨每次更新同步修訂 ── </t>
    </r>
    <r>
      <rPr>
        <i/>
        <sz val="9"/>
        <color rgb="FF888888"/>
        <rFont val="Arial"/>
        <charset val="1"/>
      </rPr>
      <t>2026</t>
    </r>
    <r>
      <rPr>
        <i/>
        <sz val="9"/>
        <color rgb="FF888888"/>
        <rFont val="DejaVu Sans"/>
        <family val="2"/>
      </rPr>
      <t>年版（台灣習俗）</t>
    </r>
  </si>
  <si>
    <r>
      <rPr>
        <b/>
        <sz val="10"/>
        <color rgb="FFFFFFFF"/>
        <rFont val="DejaVu Sans"/>
        <family val="2"/>
      </rPr>
      <t>【一】</t>
    </r>
    <r>
      <rPr>
        <b/>
        <sz val="10"/>
        <color rgb="FFFFFFFF"/>
        <rFont val="Arial"/>
        <charset val="1"/>
      </rPr>
      <t xml:space="preserve">Excel </t>
    </r>
    <r>
      <rPr>
        <b/>
        <sz val="10"/>
        <color rgb="FFFFFFFF"/>
        <rFont val="DejaVu Sans"/>
        <family val="2"/>
      </rPr>
      <t>基本操作說明</t>
    </r>
  </si>
  <si>
    <t>修改婚期</t>
  </si>
  <si>
    <r>
      <rPr>
        <sz val="9"/>
        <rFont val="DejaVu Sans"/>
        <family val="2"/>
      </rPr>
      <t xml:space="preserve">→ 到「甘特圖」工作表，點選 </t>
    </r>
    <r>
      <rPr>
        <sz val="9"/>
        <rFont val="Arial"/>
        <charset val="1"/>
      </rPr>
      <t xml:space="preserve">C2 </t>
    </r>
    <r>
      <rPr>
        <sz val="9"/>
        <rFont val="DejaVu Sans"/>
        <family val="2"/>
      </rPr>
      <t>格，輸入婚禮日期（格式：</t>
    </r>
    <r>
      <rPr>
        <sz val="9"/>
        <rFont val="Arial"/>
        <charset val="1"/>
      </rPr>
      <t>YYYY/MM/DD</t>
    </r>
    <r>
      <rPr>
        <sz val="9"/>
        <rFont val="DejaVu Sans"/>
        <family val="2"/>
      </rPr>
      <t>）</t>
    </r>
  </si>
  <si>
    <t>連動效果</t>
  </si>
  <si>
    <r>
      <rPr>
        <sz val="9"/>
        <rFont val="DejaVu Sans"/>
        <family val="2"/>
      </rPr>
      <t xml:space="preserve">→ 修改 </t>
    </r>
    <r>
      <rPr>
        <sz val="9"/>
        <rFont val="Arial"/>
        <charset val="1"/>
      </rPr>
      <t xml:space="preserve">C2 </t>
    </r>
    <r>
      <rPr>
        <sz val="9"/>
        <rFont val="DejaVu Sans"/>
        <family val="2"/>
      </rPr>
      <t xml:space="preserve">後，「完整 </t>
    </r>
    <r>
      <rPr>
        <sz val="9"/>
        <rFont val="Arial"/>
        <charset val="1"/>
      </rPr>
      <t>Checklist</t>
    </r>
    <r>
      <rPr>
        <sz val="9"/>
        <rFont val="DejaVu Sans"/>
        <family val="2"/>
      </rPr>
      <t>」及男女方分頁的「到期日」欄自動重算；甘特圖列顏色亦自動移動</t>
    </r>
  </si>
  <si>
    <t>打勾完成</t>
  </si>
  <si>
    <t>逾期警示</t>
  </si>
  <si>
    <r>
      <rPr>
        <sz val="9"/>
        <rFont val="DejaVu Sans"/>
        <family val="2"/>
      </rPr>
      <t xml:space="preserve">→ 紅色背景 </t>
    </r>
    <r>
      <rPr>
        <sz val="9"/>
        <rFont val="Arial"/>
        <charset val="1"/>
      </rPr>
      <t xml:space="preserve">= 🔴 </t>
    </r>
    <r>
      <rPr>
        <sz val="9"/>
        <rFont val="DejaVu Sans"/>
        <family val="2"/>
      </rPr>
      <t xml:space="preserve">逾期；黃色背景 </t>
    </r>
    <r>
      <rPr>
        <sz val="9"/>
        <rFont val="Arial"/>
        <charset val="1"/>
      </rPr>
      <t xml:space="preserve">= 🟡 </t>
    </r>
    <r>
      <rPr>
        <sz val="9"/>
        <rFont val="DejaVu Sans"/>
        <family val="2"/>
      </rPr>
      <t>即將到期（≤</t>
    </r>
    <r>
      <rPr>
        <sz val="9"/>
        <rFont val="Arial"/>
        <charset val="1"/>
      </rPr>
      <t>30</t>
    </r>
    <r>
      <rPr>
        <sz val="9"/>
        <rFont val="DejaVu Sans"/>
        <family val="2"/>
      </rPr>
      <t>天）；正常為原色</t>
    </r>
  </si>
  <si>
    <t>甘特圖說明</t>
  </si>
  <si>
    <r>
      <rPr>
        <sz val="9"/>
        <rFont val="DejaVu Sans"/>
        <family val="2"/>
      </rPr>
      <t xml:space="preserve">→ 黃色欄 </t>
    </r>
    <r>
      <rPr>
        <sz val="9"/>
        <rFont val="Arial"/>
        <charset val="1"/>
      </rPr>
      <t xml:space="preserve">= </t>
    </r>
    <r>
      <rPr>
        <sz val="9"/>
        <rFont val="DejaVu Sans"/>
        <family val="2"/>
      </rPr>
      <t xml:space="preserve">今日；粉紅欄 </t>
    </r>
    <r>
      <rPr>
        <sz val="9"/>
        <rFont val="Arial"/>
        <charset val="1"/>
      </rPr>
      <t xml:space="preserve">= </t>
    </r>
    <r>
      <rPr>
        <sz val="9"/>
        <rFont val="DejaVu Sans"/>
        <family val="2"/>
      </rPr>
      <t>婚禮月；圖列顏色：藍</t>
    </r>
    <r>
      <rPr>
        <sz val="9"/>
        <rFont val="Arial"/>
        <charset val="1"/>
      </rPr>
      <t>=</t>
    </r>
    <r>
      <rPr>
        <sz val="9"/>
        <rFont val="DejaVu Sans"/>
        <family val="2"/>
      </rPr>
      <t>男方、粉</t>
    </r>
    <r>
      <rPr>
        <sz val="9"/>
        <rFont val="Arial"/>
        <charset val="1"/>
      </rPr>
      <t>=</t>
    </r>
    <r>
      <rPr>
        <sz val="9"/>
        <rFont val="DejaVu Sans"/>
        <family val="2"/>
      </rPr>
      <t>女方、紫</t>
    </r>
    <r>
      <rPr>
        <sz val="9"/>
        <rFont val="Arial"/>
        <charset val="1"/>
      </rPr>
      <t>=</t>
    </r>
    <r>
      <rPr>
        <sz val="9"/>
        <rFont val="DejaVu Sans"/>
        <family val="2"/>
      </rPr>
      <t>雙方、綠</t>
    </r>
    <r>
      <rPr>
        <sz val="9"/>
        <rFont val="Arial"/>
        <charset val="1"/>
      </rPr>
      <t>=</t>
    </r>
    <r>
      <rPr>
        <sz val="9"/>
        <rFont val="DejaVu Sans"/>
        <family val="2"/>
      </rPr>
      <t>已完成、紅</t>
    </r>
    <r>
      <rPr>
        <sz val="9"/>
        <rFont val="Arial"/>
        <charset val="1"/>
      </rPr>
      <t>=</t>
    </r>
    <r>
      <rPr>
        <sz val="9"/>
        <rFont val="DejaVu Sans"/>
        <family val="2"/>
      </rPr>
      <t>婚禮當天</t>
    </r>
  </si>
  <si>
    <t>隱藏欄位</t>
  </si>
  <si>
    <r>
      <rPr>
        <sz val="9"/>
        <rFont val="DejaVu Sans"/>
        <family val="2"/>
      </rPr>
      <t>→ 甘特圖工作表的右側有隱藏輔助欄（起始日</t>
    </r>
    <r>
      <rPr>
        <sz val="9"/>
        <rFont val="Arial"/>
        <charset val="1"/>
      </rPr>
      <t>/</t>
    </r>
    <r>
      <rPr>
        <sz val="9"/>
        <rFont val="DejaVu Sans"/>
        <family val="2"/>
      </rPr>
      <t>結束日</t>
    </r>
    <r>
      <rPr>
        <sz val="9"/>
        <rFont val="Arial"/>
        <charset val="1"/>
      </rPr>
      <t>/</t>
    </r>
    <r>
      <rPr>
        <sz val="9"/>
        <rFont val="DejaVu Sans"/>
        <family val="2"/>
      </rPr>
      <t>類型），為公式參照用，請勿刪除</t>
    </r>
  </si>
  <si>
    <t>新增項目</t>
  </si>
  <si>
    <r>
      <rPr>
        <sz val="9"/>
        <rFont val="DejaVu Sans"/>
        <family val="2"/>
      </rPr>
      <t>→ 在對應分頁插入新列，並參照現有公式格式填入「到期日」欄（</t>
    </r>
    <r>
      <rPr>
        <sz val="9"/>
        <rFont val="Arial"/>
        <charset val="1"/>
      </rPr>
      <t>=</t>
    </r>
    <r>
      <rPr>
        <sz val="9"/>
        <rFont val="DejaVu Sans"/>
        <family val="2"/>
      </rPr>
      <t>甘特圖</t>
    </r>
    <r>
      <rPr>
        <sz val="9"/>
        <rFont val="Arial"/>
        <charset val="1"/>
      </rPr>
      <t>!$C$2+</t>
    </r>
    <r>
      <rPr>
        <sz val="9"/>
        <rFont val="DejaVu Sans"/>
        <family val="2"/>
      </rPr>
      <t>天數）</t>
    </r>
  </si>
  <si>
    <t>【二】台灣婚禮習俗補充說明</t>
  </si>
  <si>
    <t>聘金（大聘）</t>
  </si>
  <si>
    <t>男方給女方家長的聘金，台灣傳統為表示誠意與尊重。金額由雙方家長商議，無硬性規定。</t>
  </si>
  <si>
    <r>
      <rPr>
        <b/>
        <sz val="9"/>
        <color rgb="FFC9506E"/>
        <rFont val="DejaVu Sans"/>
        <family val="2"/>
      </rPr>
      <t>六禮</t>
    </r>
    <r>
      <rPr>
        <b/>
        <sz val="9"/>
        <color rgb="FFC9506E"/>
        <rFont val="Arial"/>
        <charset val="1"/>
      </rPr>
      <t>/</t>
    </r>
    <r>
      <rPr>
        <b/>
        <sz val="9"/>
        <color rgb="FFC9506E"/>
        <rFont val="DejaVu Sans"/>
        <family val="2"/>
      </rPr>
      <t>十二禮</t>
    </r>
  </si>
  <si>
    <t>傳統聘禮：禮餅（囍餅）、糖果、罐頭、豬肉（或羊肉）、米酒、香菸（現代可調整）</t>
  </si>
  <si>
    <t>禮餅（囍餅）</t>
  </si>
  <si>
    <t>由男方贈送，女方拿到後分送親友，意思是告知「我要結婚了！」，為台灣重要習俗</t>
  </si>
  <si>
    <t>嫁妝</t>
  </si>
  <si>
    <t>女方娘家為女兒準備的嫁妝，象徵娘家祝福與財力。現代多象徵性準備新棉被、臉盆組等</t>
  </si>
  <si>
    <t>臉盆四喜</t>
  </si>
  <si>
    <t>臉盆內放桂圓、紅棗、花生、瓜子，分別象徵「早生貴子」（桂早花生）</t>
  </si>
  <si>
    <t>子孫桶</t>
  </si>
  <si>
    <t>傳統嫁妝木桶，內放龍眼（桂圓）、花生、瓜子等，象徵多子多孫，現代可保留或省略</t>
  </si>
  <si>
    <t>迎娶流程</t>
  </si>
  <si>
    <t>男方祭祖出發→到女方家→遊戲開門→接新娘→拜別父母→新娘丟扇（不帶走壞運）→返回男方家</t>
  </si>
  <si>
    <t>過門扇</t>
  </si>
  <si>
    <r>
      <rPr>
        <sz val="9"/>
        <rFont val="DejaVu Sans"/>
        <family val="2"/>
      </rPr>
      <t>新娘上車前向後丟扇（台語：扇</t>
    </r>
    <r>
      <rPr>
        <sz val="9"/>
        <rFont val="Arial"/>
        <charset val="1"/>
      </rPr>
      <t>=</t>
    </r>
    <r>
      <rPr>
        <sz val="9"/>
        <rFont val="DejaVu Sans"/>
        <family val="2"/>
      </rPr>
      <t>散，丟掉壞事），車內再備一把扇（新生活的善）</t>
    </r>
  </si>
  <si>
    <t>哭嫁</t>
  </si>
  <si>
    <t>新娘拜別父母時落淚，象徵感恩與不捨，為台灣傳統美好習俗，為新娘祝福</t>
  </si>
  <si>
    <t>歸寧（回門）</t>
  </si>
  <si>
    <r>
      <rPr>
        <sz val="9"/>
        <rFont val="DejaVu Sans"/>
        <family val="2"/>
      </rPr>
      <t>婚後第</t>
    </r>
    <r>
      <rPr>
        <sz val="9"/>
        <rFont val="Arial"/>
        <charset val="1"/>
      </rPr>
      <t>3</t>
    </r>
    <r>
      <rPr>
        <sz val="9"/>
        <rFont val="DejaVu Sans"/>
        <family val="2"/>
      </rPr>
      <t>天，新郎新娘一同回娘家，帶雞腿（台語：雞腿</t>
    </r>
    <r>
      <rPr>
        <sz val="9"/>
        <rFont val="Arial"/>
        <charset val="1"/>
      </rPr>
      <t>=</t>
    </r>
    <r>
      <rPr>
        <sz val="9"/>
        <rFont val="DejaVu Sans"/>
        <family val="2"/>
      </rPr>
      <t>吉利），當天必須返回不可過夜</t>
    </r>
  </si>
  <si>
    <t>農民曆吉日</t>
  </si>
  <si>
    <t>台灣婚禮習慣選擇農民曆宜嫁娶之日，可請擇日師協助選定，通常雙方家長需一同確認</t>
  </si>
  <si>
    <t>不適用中國習俗</t>
  </si>
  <si>
    <t>⚠️ 本規劃表僅參考台灣本土習俗，不採用中國大陸習俗（如拜天地、鬧洞房等不同做法）</t>
  </si>
  <si>
    <t>【三】注意事項與常見問題</t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</si>
  <si>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>婚期如何選？</t>
    </r>
  </si>
  <si>
    <t>建議先查農民曆確認宜嫁娶之日，再詢問雙方長輩意見。婚宴場地熱門日期需提早預訂。</t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</si>
  <si>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>何時預訂場地？</t>
    </r>
  </si>
  <si>
    <r>
      <rPr>
        <sz val="9"/>
        <rFont val="DejaVu Sans"/>
        <family val="2"/>
      </rPr>
      <t>越早越好！台灣熱門婚宴場地（尤其飯店）需提前</t>
    </r>
    <r>
      <rPr>
        <sz val="9"/>
        <rFont val="Arial"/>
        <charset val="1"/>
      </rPr>
      <t>6-12</t>
    </r>
    <r>
      <rPr>
        <sz val="9"/>
        <rFont val="DejaVu Sans"/>
        <family val="2"/>
      </rPr>
      <t>個月預訂，確定日期後立即聯絡。</t>
    </r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</si>
  <si>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>新秘要多早訂？</t>
    </r>
  </si>
  <si>
    <t>新秘（新娘秘書）同樣搶手，建議確定婚期後立即預訂，至少提前半年以上。</t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</si>
  <si>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>聘禮要怎麼準備？</t>
    </r>
  </si>
  <si>
    <r>
      <rPr>
        <sz val="9"/>
        <rFont val="DejaVu Sans"/>
        <family val="2"/>
      </rPr>
      <t>可向女方家長確認偏好，傳統六禮可依現代方式調整，禮餅份數建議多準備</t>
    </r>
    <r>
      <rPr>
        <sz val="9"/>
        <rFont val="Arial"/>
        <charset val="1"/>
      </rPr>
      <t>10-20</t>
    </r>
    <r>
      <rPr>
        <sz val="9"/>
        <rFont val="DejaVu Sans"/>
        <family val="2"/>
      </rPr>
      <t>份備用。</t>
    </r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</si>
  <si>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>結婚登記時間？</t>
    </r>
  </si>
  <si>
    <r>
      <rPr>
        <sz val="9"/>
        <rFont val="DejaVu Sans"/>
        <family val="2"/>
      </rPr>
      <t>台灣結婚登記可於婚禮當天或婚前辦理，需本人及</t>
    </r>
    <r>
      <rPr>
        <sz val="9"/>
        <rFont val="Arial"/>
        <charset val="1"/>
      </rPr>
      <t>2</t>
    </r>
    <r>
      <rPr>
        <sz val="9"/>
        <rFont val="DejaVu Sans"/>
        <family val="2"/>
      </rPr>
      <t>位成年證人一同前往戶政事務所。</t>
    </r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</si>
  <si>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>甘特圖不顯示？</t>
    </r>
  </si>
  <si>
    <r>
      <rPr>
        <sz val="9"/>
        <rFont val="DejaVu Sans"/>
        <family val="2"/>
      </rPr>
      <t xml:space="preserve">若修改婚期後圖列未更新，請按 </t>
    </r>
    <r>
      <rPr>
        <sz val="9"/>
        <rFont val="Arial"/>
        <charset val="1"/>
      </rPr>
      <t xml:space="preserve">F9 </t>
    </r>
    <r>
      <rPr>
        <sz val="9"/>
        <rFont val="DejaVu Sans"/>
        <family val="2"/>
      </rPr>
      <t xml:space="preserve">重新計算。確認 </t>
    </r>
    <r>
      <rPr>
        <sz val="9"/>
        <rFont val="Arial"/>
        <charset val="1"/>
      </rPr>
      <t xml:space="preserve">C2 </t>
    </r>
    <r>
      <rPr>
        <sz val="9"/>
        <rFont val="DejaVu Sans"/>
        <family val="2"/>
      </rPr>
      <t>格儲存的是日期格式而非文字。</t>
    </r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</si>
  <si>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>到期日顯示錯誤？</t>
    </r>
  </si>
  <si>
    <r>
      <rPr>
        <sz val="9"/>
        <rFont val="DejaVu Sans"/>
        <family val="2"/>
      </rPr>
      <t xml:space="preserve">請確認甘特圖 </t>
    </r>
    <r>
      <rPr>
        <sz val="9"/>
        <rFont val="Arial"/>
        <charset val="1"/>
      </rPr>
      <t xml:space="preserve">C2 </t>
    </r>
    <r>
      <rPr>
        <sz val="9"/>
        <rFont val="DejaVu Sans"/>
        <family val="2"/>
      </rPr>
      <t>儲存格格式為「日期」，若顯示數字請右鍵→設定儲存格格式→日期。</t>
    </r>
  </si>
  <si>
    <r>
      <rPr>
        <b/>
        <sz val="9"/>
        <color rgb="FF3A6EA5"/>
        <rFont val="Arial"/>
        <charset val="1"/>
      </rPr>
      <t xml:space="preserve">Q: </t>
    </r>
    <r>
      <rPr>
        <b/>
        <sz val="9"/>
        <color rgb="FF3A6EA5"/>
        <rFont val="DejaVu Sans"/>
        <family val="2"/>
      </rPr>
      <t xml:space="preserve">如何新增 </t>
    </r>
    <r>
      <rPr>
        <b/>
        <sz val="9"/>
        <color rgb="FF3A6EA5"/>
        <rFont val="Arial"/>
        <charset val="1"/>
      </rPr>
      <t xml:space="preserve">Checklist </t>
    </r>
    <r>
      <rPr>
        <b/>
        <sz val="9"/>
        <color rgb="FF3A6EA5"/>
        <rFont val="DejaVu Sans"/>
        <family val="2"/>
      </rPr>
      <t>項目？</t>
    </r>
  </si>
  <si>
    <t>在對應分頁選擇要插入的位置→右鍵插入列→複製相鄰列的公式格式→修改內容。</t>
  </si>
  <si>
    <t>版本紀錄</t>
  </si>
  <si>
    <r>
      <rPr>
        <sz val="9"/>
        <rFont val="Arial"/>
        <charset val="1"/>
      </rPr>
      <t>v1.0 2026/05</t>
    </r>
    <r>
      <rPr>
        <sz val="9"/>
        <rFont val="DejaVu Sans"/>
        <family val="2"/>
      </rPr>
      <t>：初始建立｜</t>
    </r>
    <r>
      <rPr>
        <sz val="9"/>
        <rFont val="Arial"/>
        <charset val="1"/>
      </rPr>
      <t>v2.0 2026/05</t>
    </r>
    <r>
      <rPr>
        <sz val="9"/>
        <rFont val="DejaVu Sans"/>
        <family val="2"/>
      </rPr>
      <t>：新增動態甘特圖（婚期連動）＋使用說明</t>
    </r>
  </si>
  <si>
    <r>
      <t xml:space="preserve">→ </t>
    </r>
    <r>
      <rPr>
        <sz val="9"/>
        <rFont val="微軟正黑體"/>
        <family val="2"/>
        <charset val="136"/>
      </rPr>
      <t>在各</t>
    </r>
    <r>
      <rPr>
        <sz val="9"/>
        <rFont val="Arial"/>
        <family val="2"/>
      </rPr>
      <t xml:space="preserve"> </t>
    </r>
    <r>
      <rPr>
        <sz val="9"/>
        <rFont val="Arial"/>
        <charset val="1"/>
      </rPr>
      <t xml:space="preserve">Checklist </t>
    </r>
    <r>
      <rPr>
        <sz val="9"/>
        <rFont val="微軟正黑體"/>
        <family val="2"/>
        <charset val="136"/>
      </rPr>
      <t>分頁的「完成」欄，將</t>
    </r>
    <r>
      <rPr>
        <sz val="9"/>
        <rFont val="Arial"/>
        <family val="2"/>
      </rPr>
      <t xml:space="preserve"> </t>
    </r>
    <r>
      <rPr>
        <sz val="9"/>
        <rFont val="Segoe UI Symbol"/>
        <family val="2"/>
      </rPr>
      <t>☐</t>
    </r>
    <r>
      <rPr>
        <sz val="9"/>
        <rFont val="Arial"/>
        <family val="2"/>
      </rPr>
      <t xml:space="preserve"> </t>
    </r>
    <r>
      <rPr>
        <sz val="9"/>
        <rFont val="微軟正黑體"/>
        <family val="2"/>
        <charset val="136"/>
      </rPr>
      <t>改為</t>
    </r>
    <r>
      <rPr>
        <sz val="9"/>
        <rFont val="Arial"/>
        <family val="2"/>
      </rPr>
      <t xml:space="preserve"> </t>
    </r>
    <r>
      <rPr>
        <sz val="9"/>
        <rFont val="Segoe UI Symbol"/>
        <family val="2"/>
      </rPr>
      <t>☑</t>
    </r>
    <r>
      <rPr>
        <sz val="9"/>
        <rFont val="Arial"/>
        <family val="2"/>
      </rPr>
      <t xml:space="preserve"> </t>
    </r>
    <r>
      <rPr>
        <sz val="9"/>
        <rFont val="微軟正黑體"/>
        <family val="2"/>
        <charset val="136"/>
      </rPr>
      <t>即可記錄完成（可用尋找取代批量更新）</t>
    </r>
    <phoneticPr fontId="49" type="noConversion"/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</si>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</sst>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&quot;今日：&quot;yyyy/mm/dd"/>
    <numFmt numFmtId="178" formatCode="yyyy/mm"/>
  </numFmts>
  <fonts count="53">
    <font>
      <sz val="11"/>
      <color theme="1"/>
      <name val="Calibri"/>
      <family val="2"/>
      <charset val="1"/>
    </font>
    <font>
      <b/>
      <sz val="15"/>
      <color rgb="FFFFFFFF"/>
      <name val="DejaVu Sans"/>
      <family val="2"/>
    </font>
    <font>
      <b/>
      <sz val="10"/>
      <color rgb="FFC9506E"/>
      <name val="DejaVu Sans"/>
      <family val="2"/>
    </font>
    <font>
      <b/>
      <sz val="11"/>
      <color rgb="FFC9506E"/>
      <name val="Arial"/>
      <charset val="1"/>
    </font>
    <font>
      <i/>
      <sz val="9"/>
      <color rgb="FF888888"/>
      <name val="DejaVu Sans"/>
      <family val="2"/>
    </font>
    <font>
      <i/>
      <sz val="9"/>
      <color rgb="FF888888"/>
      <name val="Arial"/>
      <charset val="1"/>
    </font>
    <font>
      <b/>
      <sz val="9"/>
      <color rgb="FF3A6EA5"/>
      <name val="Arial"/>
      <charset val="1"/>
    </font>
    <font>
      <b/>
      <sz val="9"/>
      <color rgb="FF000000"/>
      <name val="DejaVu Sans"/>
      <family val="2"/>
    </font>
    <font>
      <sz val="8"/>
      <color rgb="FF000000"/>
      <name val="DejaVu Sans"/>
      <family val="2"/>
    </font>
    <font>
      <sz val="8"/>
      <color rgb="FF000000"/>
      <name val="Arial"/>
      <charset val="1"/>
    </font>
    <font>
      <b/>
      <sz val="9"/>
      <color rgb="FFFFFFFF"/>
      <name val="DejaVu Sans"/>
      <family val="2"/>
    </font>
    <font>
      <b/>
      <sz val="8"/>
      <color rgb="FFFFFFFF"/>
      <name val="Arial"/>
      <charset val="1"/>
    </font>
    <font>
      <b/>
      <sz val="8"/>
      <color rgb="FFFFFFFF"/>
      <name val="DejaVu Sans"/>
      <family val="2"/>
    </font>
    <font>
      <b/>
      <sz val="8"/>
      <color rgb="FF4A1942"/>
      <name val="DejaVu Sans"/>
      <family val="2"/>
    </font>
    <font>
      <sz val="8"/>
      <name val="DejaVu Sans"/>
      <family val="2"/>
    </font>
    <font>
      <sz val="8"/>
      <name val="Arial"/>
      <charset val="1"/>
    </font>
    <font>
      <sz val="9"/>
      <color rgb="FF444444"/>
      <name val="Arial"/>
      <charset val="1"/>
    </font>
    <font>
      <sz val="7"/>
      <color rgb="FF999999"/>
      <name val="Arial"/>
      <charset val="1"/>
    </font>
    <font>
      <sz val="8"/>
      <color rgb="FFAAAAAA"/>
      <name val="Arial"/>
      <charset val="1"/>
    </font>
    <font>
      <b/>
      <sz val="8"/>
      <name val="DejaVu Sans"/>
      <family val="2"/>
    </font>
    <font>
      <b/>
      <sz val="8"/>
      <name val="Arial"/>
      <charset val="1"/>
    </font>
    <font>
      <b/>
      <sz val="9"/>
      <color rgb="FF444444"/>
      <name val="Arial"/>
      <charset val="1"/>
    </font>
    <font>
      <b/>
      <sz val="13"/>
      <color rgb="FFFFFFFF"/>
      <name val="DejaVu Sans"/>
      <family val="2"/>
    </font>
    <font>
      <b/>
      <sz val="13"/>
      <color rgb="FFFFFFFF"/>
      <name val="Arial"/>
      <charset val="1"/>
    </font>
    <font>
      <sz val="9"/>
      <color rgb="FF4A1942"/>
      <name val="DejaVu Sans"/>
      <family val="2"/>
    </font>
    <font>
      <sz val="9"/>
      <color rgb="FF4A1942"/>
      <name val="Arial"/>
      <charset val="1"/>
    </font>
    <font>
      <b/>
      <sz val="9"/>
      <color rgb="FFFFFFFF"/>
      <name val="Arial"/>
      <charset val="1"/>
    </font>
    <font>
      <sz val="13"/>
      <name val="Arial"/>
      <charset val="1"/>
    </font>
    <font>
      <sz val="9"/>
      <name val="DejaVu Sans"/>
      <family val="2"/>
    </font>
    <font>
      <sz val="9"/>
      <name val="Arial"/>
      <charset val="1"/>
    </font>
    <font>
      <b/>
      <sz val="8"/>
      <color rgb="FF4A1A8A"/>
      <name val="DejaVu Sans"/>
      <family val="2"/>
    </font>
    <font>
      <i/>
      <sz val="8"/>
      <color rgb="FF444444"/>
      <name val="DejaVu Sans"/>
      <family val="2"/>
    </font>
    <font>
      <sz val="8"/>
      <color rgb="FF666666"/>
      <name val="Arial"/>
      <charset val="1"/>
    </font>
    <font>
      <sz val="8"/>
      <color rgb="FF666666"/>
      <name val="DejaVu Sans"/>
      <family val="2"/>
    </font>
    <font>
      <i/>
      <sz val="8"/>
      <color rgb="FF444444"/>
      <name val="Arial"/>
      <charset val="1"/>
    </font>
    <font>
      <b/>
      <sz val="8"/>
      <color rgb="FF8A1A3A"/>
      <name val="DejaVu Sans"/>
      <family val="2"/>
    </font>
    <font>
      <b/>
      <sz val="8"/>
      <color rgb="FF1A4A8A"/>
      <name val="DejaVu Sans"/>
      <family val="2"/>
    </font>
    <font>
      <i/>
      <sz val="9"/>
      <color rgb="FF555555"/>
      <name val="DejaVu Sans"/>
      <family val="2"/>
    </font>
    <font>
      <i/>
      <sz val="9"/>
      <color rgb="FF555555"/>
      <name val="Arial"/>
      <charset val="1"/>
    </font>
    <font>
      <sz val="8"/>
      <color rgb="FF4A1942"/>
      <name val="Arial"/>
      <charset val="1"/>
    </font>
    <font>
      <b/>
      <sz val="12"/>
      <color rgb="FFFFFFFF"/>
      <name val="DejaVu Sans"/>
      <family val="2"/>
    </font>
    <font>
      <b/>
      <sz val="10"/>
      <color rgb="FFFFFFFF"/>
      <name val="DejaVu Sans"/>
      <family val="2"/>
    </font>
    <font>
      <b/>
      <sz val="10"/>
      <color rgb="FFFFFFFF"/>
      <name val="Arial"/>
      <charset val="1"/>
    </font>
    <font>
      <b/>
      <sz val="9"/>
      <color rgb="FF6A4C93"/>
      <name val="DejaVu Sans"/>
      <family val="2"/>
    </font>
    <font>
      <b/>
      <sz val="9"/>
      <color rgb="FFC9506E"/>
      <name val="DejaVu Sans"/>
      <family val="2"/>
    </font>
    <font>
      <b/>
      <sz val="9"/>
      <color rgb="FFC9506E"/>
      <name val="Arial"/>
      <charset val="1"/>
    </font>
    <font>
      <b/>
      <sz val="9"/>
      <color rgb="FFFF0000"/>
      <name val="DejaVu Sans"/>
      <family val="2"/>
    </font>
    <font>
      <b/>
      <sz val="9"/>
      <color rgb="FF3A6EA5"/>
      <name val="DejaVu Sans"/>
      <family val="2"/>
    </font>
    <font>
      <b/>
      <sz val="9"/>
      <color rgb="FF555555"/>
      <name val="DejaVu Sans"/>
      <family val="2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9"/>
      <name val="Arial"/>
      <family val="2"/>
    </font>
    <font>
      <sz val="9"/>
      <name val="Segoe UI Symbol"/>
      <family val="2"/>
    </font>
  </fonts>
  <fills count="27">
    <fill>
      <patternFill patternType="none"/>
    </fill>
    <fill>
      <patternFill patternType="gray125"/>
    </fill>
    <fill>
      <patternFill patternType="solid">
        <fgColor rgb="FF4A1942"/>
        <bgColor rgb="FF4A1A8A"/>
      </patternFill>
    </fill>
    <fill>
      <patternFill patternType="solid">
        <fgColor rgb="FFFFD6E0"/>
        <bgColor rgb="FFFFCDD2"/>
      </patternFill>
    </fill>
    <fill>
      <patternFill patternType="solid">
        <fgColor rgb="FFBCD4F0"/>
        <bgColor rgb="FFCCCCCC"/>
      </patternFill>
    </fill>
    <fill>
      <patternFill patternType="solid">
        <fgColor rgb="FFF5B8CC"/>
        <bgColor rgb="FFFFCDD2"/>
      </patternFill>
    </fill>
    <fill>
      <patternFill patternType="solid">
        <fgColor rgb="FFC9B8E8"/>
        <bgColor rgb="FFCCCCCC"/>
      </patternFill>
    </fill>
    <fill>
      <patternFill patternType="solid">
        <fgColor rgb="FFAEDCA0"/>
        <bgColor rgb="FFCCCCCC"/>
      </patternFill>
    </fill>
    <fill>
      <patternFill patternType="solid">
        <fgColor rgb="FFFFF9C4"/>
        <bgColor rgb="FFFFFBEE"/>
      </patternFill>
    </fill>
    <fill>
      <patternFill patternType="solid">
        <fgColor rgb="FFFFCDD2"/>
        <bgColor rgb="FFFFD6E0"/>
      </patternFill>
    </fill>
    <fill>
      <patternFill patternType="solid">
        <fgColor rgb="FFFFF9F0"/>
        <bgColor rgb="FFFFFBEE"/>
      </patternFill>
    </fill>
    <fill>
      <patternFill patternType="solid">
        <fgColor rgb="FF6A4C93"/>
        <bgColor rgb="FF555555"/>
      </patternFill>
    </fill>
    <fill>
      <patternFill patternType="solid">
        <fgColor rgb="FFF0F5FF"/>
        <bgColor rgb="FFEEF6FF"/>
      </patternFill>
    </fill>
    <fill>
      <patternFill patternType="solid">
        <fgColor rgb="FFC9506E"/>
        <bgColor rgb="FF6A4C93"/>
      </patternFill>
    </fill>
    <fill>
      <patternFill patternType="solid">
        <fgColor rgb="FFF5F0FF"/>
        <bgColor rgb="FFF0F5FF"/>
      </patternFill>
    </fill>
    <fill>
      <patternFill patternType="solid">
        <fgColor rgb="FFEEF6FF"/>
        <bgColor rgb="FFF0F5FF"/>
      </patternFill>
    </fill>
    <fill>
      <patternFill patternType="solid">
        <fgColor rgb="FF3A6EA5"/>
        <bgColor rgb="FF666666"/>
      </patternFill>
    </fill>
    <fill>
      <patternFill patternType="solid">
        <fgColor rgb="FFFFF0F5"/>
        <bgColor rgb="FFFFF0F0"/>
      </patternFill>
    </fill>
    <fill>
      <patternFill patternType="solid">
        <fgColor rgb="FFF0FFF5"/>
        <bgColor rgb="FFF0FFF0"/>
      </patternFill>
    </fill>
    <fill>
      <patternFill patternType="solid">
        <fgColor rgb="FFFFFBEE"/>
        <bgColor rgb="FFFFF9F0"/>
      </patternFill>
    </fill>
    <fill>
      <patternFill patternType="solid">
        <fgColor rgb="FFFFF0F0"/>
        <bgColor rgb="FFFFF0F5"/>
      </patternFill>
    </fill>
    <fill>
      <patternFill patternType="solid">
        <fgColor rgb="FFFFE5E5"/>
        <bgColor rgb="FFFFF0F0"/>
      </patternFill>
    </fill>
    <fill>
      <patternFill patternType="solid">
        <fgColor rgb="FFF0FFF0"/>
        <bgColor rgb="FFF0FFF5"/>
      </patternFill>
    </fill>
    <fill>
      <patternFill patternType="solid">
        <fgColor rgb="FFE8D6FF"/>
        <bgColor rgb="FFE0E0E0"/>
      </patternFill>
    </fill>
    <fill>
      <patternFill patternType="solid">
        <fgColor rgb="FFD6E8FF"/>
        <bgColor rgb="FFE0E0E0"/>
      </patternFill>
    </fill>
    <fill>
      <patternFill patternType="solid">
        <fgColor rgb="FFFFFFFF"/>
        <bgColor rgb="FFFFFBEE"/>
      </patternFill>
    </fill>
    <fill>
      <patternFill patternType="solid">
        <fgColor rgb="FFF8F8F8"/>
        <bgColor rgb="FFFFF9F0"/>
      </patternFill>
    </fill>
  </fills>
  <borders count="4">
    <border>
      <left/>
      <right/>
      <top/>
      <bottom/>
      <diagonal/>
    </border>
    <border>
      <left style="medium">
        <color rgb="FFC9506E"/>
      </left>
      <right style="medium">
        <color rgb="FFC9506E"/>
      </right>
      <top style="medium">
        <color rgb="FFC9506E"/>
      </top>
      <bottom style="medium">
        <color rgb="FFC9506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8" fillId="25" borderId="3" xfId="0" applyFont="1" applyFill="1" applyBorder="1" applyAlignment="1">
      <alignment horizontal="left" vertical="center" wrapText="1"/>
    </xf>
    <xf numFmtId="0" fontId="41" fillId="11" borderId="0" xfId="0" applyFont="1" applyFill="1" applyAlignment="1">
      <alignment horizontal="left" vertical="center" wrapText="1"/>
    </xf>
    <xf numFmtId="0" fontId="40" fillId="2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22" fillId="16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177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0" fillId="4" borderId="2" xfId="0" applyFill="1" applyBorder="1"/>
    <xf numFmtId="0" fontId="8" fillId="0" borderId="0" xfId="0" applyFont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0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center" wrapText="1"/>
    </xf>
    <xf numFmtId="0" fontId="16" fillId="14" borderId="2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left" vertical="center" wrapText="1"/>
    </xf>
    <xf numFmtId="0" fontId="16" fillId="17" borderId="2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left" vertical="center" wrapText="1"/>
    </xf>
    <xf numFmtId="0" fontId="16" fillId="18" borderId="2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left" vertical="center" wrapText="1"/>
    </xf>
    <xf numFmtId="0" fontId="16" fillId="19" borderId="2" xfId="0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left" vertical="center" wrapText="1"/>
    </xf>
    <xf numFmtId="0" fontId="16" fillId="20" borderId="2" xfId="0" applyFont="1" applyFill="1" applyBorder="1" applyAlignment="1">
      <alignment horizontal="center" vertical="center"/>
    </xf>
    <xf numFmtId="0" fontId="18" fillId="20" borderId="2" xfId="0" applyFont="1" applyFill="1" applyBorder="1" applyAlignment="1">
      <alignment horizontal="center" vertical="center" wrapText="1"/>
    </xf>
    <xf numFmtId="0" fontId="13" fillId="21" borderId="2" xfId="0" applyFont="1" applyFill="1" applyBorder="1" applyAlignment="1">
      <alignment horizontal="center" vertical="center" wrapText="1"/>
    </xf>
    <xf numFmtId="0" fontId="19" fillId="21" borderId="2" xfId="0" applyFont="1" applyFill="1" applyBorder="1" applyAlignment="1">
      <alignment horizontal="left" vertical="center" wrapText="1"/>
    </xf>
    <xf numFmtId="0" fontId="21" fillId="21" borderId="2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left" vertical="center" wrapText="1"/>
    </xf>
    <xf numFmtId="0" fontId="16" fillId="22" borderId="2" xfId="0" applyFont="1" applyFill="1" applyBorder="1" applyAlignment="1">
      <alignment horizontal="center" vertical="center"/>
    </xf>
    <xf numFmtId="0" fontId="18" fillId="22" borderId="2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left" vertical="center" wrapText="1"/>
    </xf>
    <xf numFmtId="0" fontId="30" fillId="23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176" fontId="20" fillId="10" borderId="2" xfId="0" applyNumberFormat="1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left" vertical="center" wrapText="1"/>
    </xf>
    <xf numFmtId="0" fontId="32" fillId="10" borderId="2" xfId="0" applyFont="1" applyFill="1" applyBorder="1" applyAlignment="1">
      <alignment horizontal="left" vertical="center" wrapText="1"/>
    </xf>
    <xf numFmtId="0" fontId="33" fillId="10" borderId="2" xfId="0" applyFont="1" applyFill="1" applyBorder="1" applyAlignment="1">
      <alignment horizontal="left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176" fontId="20" fillId="12" borderId="2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left" vertical="center" wrapText="1"/>
    </xf>
    <xf numFmtId="0" fontId="33" fillId="12" borderId="2" xfId="0" applyFont="1" applyFill="1" applyBorder="1" applyAlignment="1">
      <alignment horizontal="left" vertical="center" wrapText="1"/>
    </xf>
    <xf numFmtId="0" fontId="35" fillId="3" borderId="2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left" vertical="center" wrapText="1"/>
    </xf>
    <xf numFmtId="0" fontId="14" fillId="14" borderId="2" xfId="0" applyFont="1" applyFill="1" applyBorder="1" applyAlignment="1">
      <alignment horizontal="center" vertical="center" wrapText="1"/>
    </xf>
    <xf numFmtId="176" fontId="20" fillId="14" borderId="2" xfId="0" applyNumberFormat="1" applyFont="1" applyFill="1" applyBorder="1" applyAlignment="1">
      <alignment horizontal="center" vertical="center" wrapText="1"/>
    </xf>
    <xf numFmtId="0" fontId="31" fillId="14" borderId="2" xfId="0" applyFont="1" applyFill="1" applyBorder="1" applyAlignment="1">
      <alignment horizontal="left" vertical="center" wrapText="1"/>
    </xf>
    <xf numFmtId="0" fontId="33" fillId="14" borderId="2" xfId="0" applyFont="1" applyFill="1" applyBorder="1" applyAlignment="1">
      <alignment horizontal="left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horizontal="left" vertical="center" wrapText="1"/>
    </xf>
    <xf numFmtId="0" fontId="36" fillId="24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176" fontId="20" fillId="15" borderId="2" xfId="0" applyNumberFormat="1" applyFont="1" applyFill="1" applyBorder="1" applyAlignment="1">
      <alignment horizontal="center" vertical="center" wrapText="1"/>
    </xf>
    <xf numFmtId="0" fontId="31" fillId="15" borderId="2" xfId="0" applyFont="1" applyFill="1" applyBorder="1" applyAlignment="1">
      <alignment horizontal="left" vertical="center" wrapText="1"/>
    </xf>
    <xf numFmtId="0" fontId="33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32" fillId="15" borderId="2" xfId="0" applyFont="1" applyFill="1" applyBorder="1" applyAlignment="1">
      <alignment horizontal="left" vertical="center" wrapText="1"/>
    </xf>
    <xf numFmtId="0" fontId="27" fillId="17" borderId="2" xfId="0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left" vertical="center" wrapText="1"/>
    </xf>
    <xf numFmtId="0" fontId="15" fillId="17" borderId="2" xfId="0" applyFont="1" applyFill="1" applyBorder="1" applyAlignment="1">
      <alignment horizontal="center" vertical="center" wrapText="1"/>
    </xf>
    <xf numFmtId="176" fontId="20" fillId="17" borderId="2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left" vertical="center" wrapText="1"/>
    </xf>
    <xf numFmtId="0" fontId="33" fillId="17" borderId="2" xfId="0" applyFont="1" applyFill="1" applyBorder="1" applyAlignment="1">
      <alignment horizontal="left" vertical="center" wrapText="1"/>
    </xf>
    <xf numFmtId="0" fontId="14" fillId="17" borderId="2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left" vertical="center" wrapText="1"/>
    </xf>
    <xf numFmtId="0" fontId="27" fillId="18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center" vertical="center" wrapText="1"/>
    </xf>
    <xf numFmtId="176" fontId="20" fillId="18" borderId="2" xfId="0" applyNumberFormat="1" applyFont="1" applyFill="1" applyBorder="1" applyAlignment="1">
      <alignment horizontal="center" vertical="center" wrapText="1"/>
    </xf>
    <xf numFmtId="0" fontId="31" fillId="18" borderId="2" xfId="0" applyFont="1" applyFill="1" applyBorder="1" applyAlignment="1">
      <alignment horizontal="left" vertical="center" wrapText="1"/>
    </xf>
    <xf numFmtId="0" fontId="33" fillId="18" borderId="2" xfId="0" applyFont="1" applyFill="1" applyBorder="1" applyAlignment="1">
      <alignment horizontal="left" vertical="center" wrapText="1"/>
    </xf>
    <xf numFmtId="0" fontId="32" fillId="18" borderId="2" xfId="0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27" fillId="19" borderId="2" xfId="0" applyFont="1" applyFill="1" applyBorder="1" applyAlignment="1">
      <alignment horizontal="center" vertical="center" wrapText="1"/>
    </xf>
    <xf numFmtId="0" fontId="28" fillId="19" borderId="2" xfId="0" applyFont="1" applyFill="1" applyBorder="1" applyAlignment="1">
      <alignment horizontal="left" vertical="center" wrapText="1"/>
    </xf>
    <xf numFmtId="0" fontId="14" fillId="19" borderId="2" xfId="0" applyFont="1" applyFill="1" applyBorder="1" applyAlignment="1">
      <alignment horizontal="center" vertical="center" wrapText="1"/>
    </xf>
    <xf numFmtId="176" fontId="20" fillId="19" borderId="2" xfId="0" applyNumberFormat="1" applyFont="1" applyFill="1" applyBorder="1" applyAlignment="1">
      <alignment horizontal="center" vertical="center" wrapText="1"/>
    </xf>
    <xf numFmtId="0" fontId="31" fillId="19" borderId="2" xfId="0" applyFont="1" applyFill="1" applyBorder="1" applyAlignment="1">
      <alignment horizontal="left" vertical="center" wrapText="1"/>
    </xf>
    <xf numFmtId="0" fontId="32" fillId="19" borderId="2" xfId="0" applyFont="1" applyFill="1" applyBorder="1" applyAlignment="1">
      <alignment horizontal="left" vertical="center" wrapText="1"/>
    </xf>
    <xf numFmtId="0" fontId="27" fillId="20" borderId="2" xfId="0" applyFont="1" applyFill="1" applyBorder="1" applyAlignment="1">
      <alignment horizontal="center" vertical="center" wrapText="1"/>
    </xf>
    <xf numFmtId="0" fontId="28" fillId="20" borderId="2" xfId="0" applyFont="1" applyFill="1" applyBorder="1" applyAlignment="1">
      <alignment horizontal="left" vertical="center" wrapText="1"/>
    </xf>
    <xf numFmtId="0" fontId="14" fillId="20" borderId="2" xfId="0" applyFont="1" applyFill="1" applyBorder="1" applyAlignment="1">
      <alignment horizontal="center" vertical="center" wrapText="1"/>
    </xf>
    <xf numFmtId="176" fontId="20" fillId="20" borderId="2" xfId="0" applyNumberFormat="1" applyFont="1" applyFill="1" applyBorder="1" applyAlignment="1">
      <alignment horizontal="center" vertical="center" wrapText="1"/>
    </xf>
    <xf numFmtId="0" fontId="31" fillId="20" borderId="2" xfId="0" applyFont="1" applyFill="1" applyBorder="1" applyAlignment="1">
      <alignment horizontal="left" vertical="center" wrapText="1"/>
    </xf>
    <xf numFmtId="0" fontId="32" fillId="20" borderId="2" xfId="0" applyFont="1" applyFill="1" applyBorder="1" applyAlignment="1">
      <alignment horizontal="left" vertical="center" wrapText="1"/>
    </xf>
    <xf numFmtId="0" fontId="27" fillId="21" borderId="2" xfId="0" applyFont="1" applyFill="1" applyBorder="1" applyAlignment="1">
      <alignment horizontal="center" vertical="center" wrapText="1"/>
    </xf>
    <xf numFmtId="0" fontId="28" fillId="21" borderId="2" xfId="0" applyFont="1" applyFill="1" applyBorder="1" applyAlignment="1">
      <alignment horizontal="left" vertical="center" wrapText="1"/>
    </xf>
    <xf numFmtId="0" fontId="14" fillId="21" borderId="2" xfId="0" applyFont="1" applyFill="1" applyBorder="1" applyAlignment="1">
      <alignment horizontal="center" vertical="center" wrapText="1"/>
    </xf>
    <xf numFmtId="176" fontId="20" fillId="21" borderId="2" xfId="0" applyNumberFormat="1" applyFont="1" applyFill="1" applyBorder="1" applyAlignment="1">
      <alignment horizontal="center" vertical="center" wrapText="1"/>
    </xf>
    <xf numFmtId="0" fontId="31" fillId="21" borderId="2" xfId="0" applyFont="1" applyFill="1" applyBorder="1" applyAlignment="1">
      <alignment horizontal="left" vertical="center" wrapText="1"/>
    </xf>
    <xf numFmtId="0" fontId="32" fillId="21" borderId="2" xfId="0" applyFont="1" applyFill="1" applyBorder="1" applyAlignment="1">
      <alignment horizontal="left" vertical="center" wrapText="1"/>
    </xf>
    <xf numFmtId="0" fontId="27" fillId="22" borderId="2" xfId="0" applyFont="1" applyFill="1" applyBorder="1" applyAlignment="1">
      <alignment horizontal="center" vertical="center" wrapText="1"/>
    </xf>
    <xf numFmtId="0" fontId="28" fillId="22" borderId="2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center" vertical="center" wrapText="1"/>
    </xf>
    <xf numFmtId="176" fontId="20" fillId="22" borderId="2" xfId="0" applyNumberFormat="1" applyFont="1" applyFill="1" applyBorder="1" applyAlignment="1">
      <alignment horizontal="center" vertical="center" wrapText="1"/>
    </xf>
    <xf numFmtId="0" fontId="31" fillId="22" borderId="2" xfId="0" applyFont="1" applyFill="1" applyBorder="1" applyAlignment="1">
      <alignment horizontal="left" vertical="center" wrapText="1"/>
    </xf>
    <xf numFmtId="0" fontId="33" fillId="22" borderId="2" xfId="0" applyFont="1" applyFill="1" applyBorder="1" applyAlignment="1">
      <alignment horizontal="left" vertical="center" wrapText="1"/>
    </xf>
    <xf numFmtId="0" fontId="32" fillId="22" borderId="2" xfId="0" applyFont="1" applyFill="1" applyBorder="1" applyAlignment="1">
      <alignment horizontal="left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27" fillId="25" borderId="2" xfId="0" applyFont="1" applyFill="1" applyBorder="1" applyAlignment="1">
      <alignment horizontal="center" vertical="center" wrapText="1"/>
    </xf>
    <xf numFmtId="0" fontId="13" fillId="25" borderId="2" xfId="0" applyFont="1" applyFill="1" applyBorder="1" applyAlignment="1">
      <alignment horizontal="center" vertical="center" wrapText="1"/>
    </xf>
    <xf numFmtId="0" fontId="28" fillId="25" borderId="2" xfId="0" applyFont="1" applyFill="1" applyBorder="1" applyAlignment="1">
      <alignment horizontal="left" vertical="center" wrapText="1"/>
    </xf>
    <xf numFmtId="0" fontId="31" fillId="25" borderId="2" xfId="0" applyFont="1" applyFill="1" applyBorder="1" applyAlignment="1">
      <alignment horizontal="left" vertical="center" wrapText="1"/>
    </xf>
    <xf numFmtId="0" fontId="14" fillId="25" borderId="2" xfId="0" applyFont="1" applyFill="1" applyBorder="1" applyAlignment="1">
      <alignment horizontal="center" vertical="center" wrapText="1"/>
    </xf>
    <xf numFmtId="176" fontId="20" fillId="25" borderId="2" xfId="0" applyNumberFormat="1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left" vertical="center" wrapText="1"/>
    </xf>
    <xf numFmtId="0" fontId="39" fillId="25" borderId="2" xfId="0" applyFont="1" applyFill="1" applyBorder="1" applyAlignment="1">
      <alignment horizontal="center" vertical="center" wrapText="1"/>
    </xf>
    <xf numFmtId="0" fontId="33" fillId="25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43" fillId="26" borderId="3" xfId="0" applyFont="1" applyFill="1" applyBorder="1" applyAlignment="1">
      <alignment horizontal="right" vertical="center"/>
    </xf>
    <xf numFmtId="0" fontId="44" fillId="26" borderId="3" xfId="0" applyFont="1" applyFill="1" applyBorder="1" applyAlignment="1">
      <alignment horizontal="right" vertical="center"/>
    </xf>
    <xf numFmtId="0" fontId="46" fillId="26" borderId="3" xfId="0" applyFont="1" applyFill="1" applyBorder="1" applyAlignment="1">
      <alignment horizontal="right" vertical="center"/>
    </xf>
    <xf numFmtId="0" fontId="6" fillId="26" borderId="3" xfId="0" applyFont="1" applyFill="1" applyBorder="1" applyAlignment="1">
      <alignment horizontal="right" vertical="center"/>
    </xf>
    <xf numFmtId="0" fontId="48" fillId="26" borderId="3" xfId="0" applyFont="1" applyFill="1" applyBorder="1" applyAlignment="1">
      <alignment horizontal="right" vertical="center"/>
    </xf>
    <xf numFmtId="0" fontId="41" fillId="13" borderId="0" xfId="0" applyFont="1" applyFill="1" applyAlignment="1">
      <alignment horizontal="left" vertical="center" wrapText="1"/>
    </xf>
    <xf numFmtId="0" fontId="41" fillId="16" borderId="0" xfId="0" applyFont="1" applyFill="1" applyAlignment="1">
      <alignment horizontal="left" vertical="center" wrapText="1"/>
    </xf>
    <xf numFmtId="0" fontId="29" fillId="25" borderId="3" xfId="0" applyFont="1" applyFill="1" applyBorder="1" applyAlignment="1">
      <alignment horizontal="left" vertical="center" wrapText="1"/>
    </xf>
  </cellXfs>
  <cellStyles count="1">
    <cellStyle name="一般" xfId="0" builtinId="0"/>
  </cellStyles>
  <dxfs count="104"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FF9999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AEDCA0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AEDCA0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AEDCA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AEDCA0"/>
        </patternFill>
      </fill>
    </dxf>
    <dxf>
      <fill>
        <patternFill>
          <bgColor rgb="FFC9B8E8"/>
        </patternFill>
      </fill>
    </dxf>
    <dxf>
      <fill>
        <patternFill>
          <bgColor rgb="FFF5B8CC"/>
        </patternFill>
      </fill>
    </dxf>
    <dxf>
      <fill>
        <patternFill>
          <bgColor rgb="FFBCD4F0"/>
        </patternFill>
      </fill>
    </dxf>
    <dxf>
      <fill>
        <patternFill>
          <bgColor rgb="FFFF9999"/>
        </patternFill>
      </fill>
    </dxf>
    <dxf>
      <fill>
        <patternFill>
          <bgColor rgb="FFFFF9C4"/>
        </patternFill>
      </fill>
    </dxf>
    <dxf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5E5"/>
      <rgbColor rgb="FFFF00FF"/>
      <rgbColor rgb="FFF0FFF5"/>
      <rgbColor rgb="FF800000"/>
      <rgbColor rgb="FF008000"/>
      <rgbColor rgb="FF000080"/>
      <rgbColor rgb="FFFFF0F5"/>
      <rgbColor rgb="FF4A1A8A"/>
      <rgbColor rgb="FF008080"/>
      <rgbColor rgb="FFCCCCCC"/>
      <rgbColor rgb="FF888888"/>
      <rgbColor rgb="FFAAAAAA"/>
      <rgbColor rgb="FF8A1A3A"/>
      <rgbColor rgb="FFFFF9C4"/>
      <rgbColor rgb="FFD6E8FF"/>
      <rgbColor rgb="FF4A1942"/>
      <rgbColor rgb="FFF5B8CC"/>
      <rgbColor rgb="FF0066CC"/>
      <rgbColor rgb="FFBCD4F0"/>
      <rgbColor rgb="FF000080"/>
      <rgbColor rgb="FFFF00FF"/>
      <rgbColor rgb="FFFFF9F0"/>
      <rgbColor rgb="FFF5F0FF"/>
      <rgbColor rgb="FF800080"/>
      <rgbColor rgb="FF800000"/>
      <rgbColor rgb="FF008080"/>
      <rgbColor rgb="FF0000FF"/>
      <rgbColor rgb="FF00CCFF"/>
      <rgbColor rgb="FFEEF6FF"/>
      <rgbColor rgb="FFF0FFF0"/>
      <rgbColor rgb="FFFFFBEE"/>
      <rgbColor rgb="FFAEDCA0"/>
      <rgbColor rgb="FFFF9999"/>
      <rgbColor rgb="FFC9B8E8"/>
      <rgbColor rgb="FFFFCDD2"/>
      <rgbColor rgb="FF3A6EA5"/>
      <rgbColor rgb="FFF0F5FF"/>
      <rgbColor rgb="FFE0E0E0"/>
      <rgbColor rgb="FFFFD6E0"/>
      <rgbColor rgb="FFE8D6FF"/>
      <rgbColor rgb="FFFFF0F0"/>
      <rgbColor rgb="FF666666"/>
      <rgbColor rgb="FF999999"/>
      <rgbColor rgb="FF003366"/>
      <rgbColor rgb="FFF8F8F8"/>
      <rgbColor rgb="FF003300"/>
      <rgbColor rgb="FF555555"/>
      <rgbColor rgb="FF6A4C93"/>
      <rgbColor rgb="FFC9506E"/>
      <rgbColor rgb="FF1A4A8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35" sqref="F35"/>
    </sheetView>
  </sheetViews>
  <sheetFormatPr defaultColWidth="8.6640625" defaultRowHeight="14.4"/>
  <cols>
    <col min="1" max="1" width="11" customWidth="1"/>
    <col min="2" max="2" width="25" customWidth="1"/>
    <col min="3" max="16" width="10.77734375" customWidth="1"/>
    <col min="17" max="17" width="5" bestFit="1" customWidth="1"/>
    <col min="18" max="19" width="6.33203125" bestFit="1" customWidth="1"/>
    <col min="20" max="20" width="2.33203125" bestFit="1" customWidth="1"/>
  </cols>
  <sheetData>
    <row r="1" spans="1:20" ht="33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20" ht="25.5" customHeight="1">
      <c r="A2" s="13" t="s">
        <v>1</v>
      </c>
      <c r="B2" s="13"/>
      <c r="C2" s="15">
        <v>46494</v>
      </c>
      <c r="D2" s="12" t="s">
        <v>2</v>
      </c>
      <c r="E2" s="12"/>
      <c r="F2" s="12"/>
      <c r="G2" s="11">
        <f ca="1">TODAY()</f>
        <v>46168</v>
      </c>
      <c r="H2" s="11"/>
      <c r="I2" s="11"/>
      <c r="J2" s="11"/>
    </row>
    <row r="3" spans="1:20" ht="18" customHeight="1">
      <c r="A3" s="10" t="s">
        <v>3</v>
      </c>
      <c r="B3" s="10"/>
      <c r="C3" s="10"/>
      <c r="D3" s="16"/>
      <c r="E3" s="17" t="s">
        <v>4</v>
      </c>
      <c r="F3" s="18"/>
      <c r="G3" s="17" t="s">
        <v>5</v>
      </c>
      <c r="H3" s="19"/>
      <c r="I3" s="17" t="s">
        <v>6</v>
      </c>
      <c r="J3" s="20"/>
      <c r="K3" s="17" t="s">
        <v>7</v>
      </c>
      <c r="L3" s="21"/>
      <c r="M3" s="17" t="s">
        <v>8</v>
      </c>
      <c r="N3" s="22"/>
      <c r="O3" s="17" t="s">
        <v>9</v>
      </c>
    </row>
    <row r="4" spans="1:20" ht="30" customHeight="1">
      <c r="A4" s="23" t="s">
        <v>10</v>
      </c>
      <c r="B4" s="23" t="s">
        <v>11</v>
      </c>
      <c r="C4" s="23" t="s">
        <v>12</v>
      </c>
      <c r="D4" s="24" t="s">
        <v>13</v>
      </c>
      <c r="E4" s="24" t="s">
        <v>14</v>
      </c>
      <c r="F4" s="24" t="s">
        <v>15</v>
      </c>
      <c r="G4" s="24" t="s">
        <v>16</v>
      </c>
      <c r="H4" s="24" t="s">
        <v>17</v>
      </c>
      <c r="I4" s="24" t="s">
        <v>18</v>
      </c>
      <c r="J4" s="24" t="s">
        <v>19</v>
      </c>
      <c r="K4" s="24" t="s">
        <v>20</v>
      </c>
      <c r="L4" s="24" t="s">
        <v>21</v>
      </c>
      <c r="M4" s="24" t="s">
        <v>22</v>
      </c>
      <c r="N4" s="24" t="s">
        <v>23</v>
      </c>
      <c r="O4" s="24" t="s">
        <v>24</v>
      </c>
      <c r="P4" s="24" t="s">
        <v>25</v>
      </c>
      <c r="Q4" s="24" t="s">
        <v>26</v>
      </c>
    </row>
    <row r="5" spans="1:20" ht="21" customHeight="1">
      <c r="A5" s="25" t="s">
        <v>27</v>
      </c>
      <c r="B5" s="26" t="s">
        <v>28</v>
      </c>
      <c r="C5" s="27" t="s">
        <v>29</v>
      </c>
      <c r="D5" s="28" t="str">
        <f t="shared" ref="D5:D41" si="0">IF(AND(R5&lt;=DATE(2026,5,1),S5&gt;=DATE(2026,5,1)),IF(AND(MONTH(R5)=5,YEAR(R5)=2026),IF(AND(MONTH(S5)=5,YEAR(S5)=2026),"●","▶"),IF(AND(MONTH(S5)=5,YEAR(S5)=2026),"◀","─")),"")</f>
        <v>●</v>
      </c>
      <c r="E5" s="28" t="str">
        <f t="shared" ref="E5:E41" si="1">IF(AND(R5&lt;=DATE(2026,6,1),S5&gt;=DATE(2026,6,1)),IF(AND(MONTH(R5)=6,YEAR(R5)=2026),IF(AND(MONTH(S5)=6,YEAR(S5)=2026),"●","▶"),IF(AND(MONTH(S5)=6,YEAR(S5)=2026),"◀","─")),"")</f>
        <v/>
      </c>
      <c r="F5" s="28" t="str">
        <f t="shared" ref="F5:F41" si="2">IF(AND(R5&lt;=DATE(2026,7,1),S5&gt;=DATE(2026,7,1)),IF(AND(MONTH(R5)=7,YEAR(R5)=2026),IF(AND(MONTH(S5)=7,YEAR(S5)=2026),"●","▶"),IF(AND(MONTH(S5)=7,YEAR(S5)=2026),"◀","─")),"")</f>
        <v/>
      </c>
      <c r="G5" s="28" t="str">
        <f t="shared" ref="G5:G41" si="3">IF(AND(R5&lt;=DATE(2026,8,1),S5&gt;=DATE(2026,8,1)),IF(AND(MONTH(R5)=8,YEAR(R5)=2026),IF(AND(MONTH(S5)=8,YEAR(S5)=2026),"●","▶"),IF(AND(MONTH(S5)=8,YEAR(S5)=2026),"◀","─")),"")</f>
        <v/>
      </c>
      <c r="H5" s="28" t="str">
        <f t="shared" ref="H5:H41" si="4">IF(AND(R5&lt;=DATE(2026,9,1),S5&gt;=DATE(2026,9,1)),IF(AND(MONTH(R5)=9,YEAR(R5)=2026),IF(AND(MONTH(S5)=9,YEAR(S5)=2026),"●","▶"),IF(AND(MONTH(S5)=9,YEAR(S5)=2026),"◀","─")),"")</f>
        <v/>
      </c>
      <c r="I5" s="28" t="str">
        <f t="shared" ref="I5:I41" si="5">IF(AND(R5&lt;=DATE(2026,10,1),S5&gt;=DATE(2026,10,1)),IF(AND(MONTH(R5)=10,YEAR(R5)=2026),IF(AND(MONTH(S5)=10,YEAR(S5)=2026),"●","▶"),IF(AND(MONTH(S5)=10,YEAR(S5)=2026),"◀","─")),"")</f>
        <v/>
      </c>
      <c r="J5" s="28" t="str">
        <f t="shared" ref="J5:J41" si="6">IF(AND(R5&lt;=DATE(2026,11,1),S5&gt;=DATE(2026,11,1)),IF(AND(MONTH(R5)=11,YEAR(R5)=2026),IF(AND(MONTH(S5)=11,YEAR(S5)=2026),"●","▶"),IF(AND(MONTH(S5)=11,YEAR(S5)=2026),"◀","─")),"")</f>
        <v/>
      </c>
      <c r="K5" s="28" t="str">
        <f t="shared" ref="K5:K41" si="7">IF(AND(R5&lt;=DATE(2026,12,1),S5&gt;=DATE(2026,12,1)),IF(AND(MONTH(R5)=12,YEAR(R5)=2026),IF(AND(MONTH(S5)=12,YEAR(S5)=2026),"●","▶"),IF(AND(MONTH(S5)=12,YEAR(S5)=2026),"◀","─")),"")</f>
        <v/>
      </c>
      <c r="L5" s="28" t="str">
        <f t="shared" ref="L5:L41" si="8">IF(AND(R5&lt;=DATE(2027,1,1),S5&gt;=DATE(2027,1,1)),IF(AND(MONTH(R5)=1,YEAR(R5)=2027),IF(AND(MONTH(S5)=1,YEAR(S5)=2027),"●","▶"),IF(AND(MONTH(S5)=1,YEAR(S5)=2027),"◀","─")),"")</f>
        <v/>
      </c>
      <c r="M5" s="28" t="str">
        <f t="shared" ref="M5:M41" si="9">IF(AND(R5&lt;=DATE(2027,2,1),S5&gt;=DATE(2027,2,1)),IF(AND(MONTH(R5)=2,YEAR(R5)=2027),IF(AND(MONTH(S5)=2,YEAR(S5)=2027),"●","▶"),IF(AND(MONTH(S5)=2,YEAR(S5)=2027),"◀","─")),"")</f>
        <v/>
      </c>
      <c r="N5" s="28" t="str">
        <f t="shared" ref="N5:N41" si="10">IF(AND(R5&lt;=DATE(2027,3,1),S5&gt;=DATE(2027,3,1)),IF(AND(MONTH(R5)=3,YEAR(R5)=2027),IF(AND(MONTH(S5)=3,YEAR(S5)=2027),"●","▶"),IF(AND(MONTH(S5)=3,YEAR(S5)=2027),"◀","─")),"")</f>
        <v/>
      </c>
      <c r="O5" s="28" t="str">
        <f t="shared" ref="O5:O41" si="11">IF(AND(R5&lt;=DATE(2027,4,1),S5&gt;=DATE(2027,4,1)),IF(AND(MONTH(R5)=4,YEAR(R5)=2027),IF(AND(MONTH(S5)=4,YEAR(S5)=2027),"●","▶"),IF(AND(MONTH(S5)=4,YEAR(S5)=2027),"◀","─")),"")</f>
        <v/>
      </c>
      <c r="P5" s="28" t="str">
        <f t="shared" ref="P5:P41" si="12">IF(AND(R5&lt;=DATE(2027,5,1),S5&gt;=DATE(2027,5,1)),IF(AND(MONTH(R5)=5,YEAR(R5)=2027),IF(AND(MONTH(S5)=5,YEAR(S5)=2027),"●","▶"),IF(AND(MONTH(S5)=5,YEAR(S5)=2027),"◀","─")),"")</f>
        <v/>
      </c>
      <c r="Q5" s="28" t="str">
        <f t="shared" ref="Q5:Q41" si="13">IF(AND(R5&lt;=DATE(2027,6,1),S5&gt;=DATE(2027,6,1)),IF(AND(MONTH(R5)=6,YEAR(R5)=2027),IF(AND(MONTH(S5)=6,YEAR(S5)=2027),"●","▶"),IF(AND(MONTH(S5)=6,YEAR(S5)=2027),"◀","─")),"")</f>
        <v/>
      </c>
      <c r="R5" s="29">
        <v>46143</v>
      </c>
      <c r="S5" s="29">
        <v>46143</v>
      </c>
      <c r="T5" s="30">
        <v>4</v>
      </c>
    </row>
    <row r="6" spans="1:20" ht="21" customHeight="1">
      <c r="A6" s="31"/>
      <c r="B6" s="26" t="s">
        <v>30</v>
      </c>
      <c r="C6" s="27" t="s">
        <v>29</v>
      </c>
      <c r="D6" s="28" t="str">
        <f t="shared" si="0"/>
        <v>●</v>
      </c>
      <c r="E6" s="28" t="str">
        <f t="shared" si="1"/>
        <v/>
      </c>
      <c r="F6" s="28" t="str">
        <f t="shared" si="2"/>
        <v/>
      </c>
      <c r="G6" s="28" t="str">
        <f t="shared" si="3"/>
        <v/>
      </c>
      <c r="H6" s="28" t="str">
        <f t="shared" si="4"/>
        <v/>
      </c>
      <c r="I6" s="28" t="str">
        <f t="shared" si="5"/>
        <v/>
      </c>
      <c r="J6" s="28" t="str">
        <f t="shared" si="6"/>
        <v/>
      </c>
      <c r="K6" s="28" t="str">
        <f t="shared" si="7"/>
        <v/>
      </c>
      <c r="L6" s="28" t="str">
        <f t="shared" si="8"/>
        <v/>
      </c>
      <c r="M6" s="28" t="str">
        <f t="shared" si="9"/>
        <v/>
      </c>
      <c r="N6" s="28" t="str">
        <f t="shared" si="10"/>
        <v/>
      </c>
      <c r="O6" s="28" t="str">
        <f t="shared" si="11"/>
        <v/>
      </c>
      <c r="P6" s="28" t="str">
        <f t="shared" si="12"/>
        <v/>
      </c>
      <c r="Q6" s="28" t="str">
        <f t="shared" si="13"/>
        <v/>
      </c>
      <c r="R6" s="29">
        <v>46143</v>
      </c>
      <c r="S6" s="29">
        <v>46143</v>
      </c>
      <c r="T6" s="30">
        <v>4</v>
      </c>
    </row>
    <row r="7" spans="1:20" ht="21" customHeight="1">
      <c r="A7" s="31"/>
      <c r="B7" s="26" t="s">
        <v>31</v>
      </c>
      <c r="C7" s="27" t="s">
        <v>29</v>
      </c>
      <c r="D7" s="28" t="str">
        <f t="shared" si="0"/>
        <v/>
      </c>
      <c r="E7" s="28" t="str">
        <f t="shared" si="1"/>
        <v/>
      </c>
      <c r="F7" s="28" t="str">
        <f t="shared" si="2"/>
        <v/>
      </c>
      <c r="G7" s="28" t="str">
        <f t="shared" si="3"/>
        <v/>
      </c>
      <c r="H7" s="28" t="str">
        <f t="shared" si="4"/>
        <v/>
      </c>
      <c r="I7" s="28" t="str">
        <f t="shared" si="5"/>
        <v>◀</v>
      </c>
      <c r="J7" s="28" t="str">
        <f t="shared" si="6"/>
        <v/>
      </c>
      <c r="K7" s="28" t="str">
        <f t="shared" si="7"/>
        <v/>
      </c>
      <c r="L7" s="28" t="str">
        <f t="shared" si="8"/>
        <v/>
      </c>
      <c r="M7" s="28" t="str">
        <f t="shared" si="9"/>
        <v/>
      </c>
      <c r="N7" s="28" t="str">
        <f t="shared" si="10"/>
        <v/>
      </c>
      <c r="O7" s="28" t="str">
        <f t="shared" si="11"/>
        <v/>
      </c>
      <c r="P7" s="28" t="str">
        <f t="shared" si="12"/>
        <v/>
      </c>
      <c r="Q7" s="28" t="str">
        <f t="shared" si="13"/>
        <v/>
      </c>
      <c r="R7" s="29">
        <f>EDATE($C$2,-7)</f>
        <v>46282</v>
      </c>
      <c r="S7" s="29">
        <f>EDATE($C$2,-6)</f>
        <v>46312</v>
      </c>
      <c r="T7" s="30">
        <v>3</v>
      </c>
    </row>
    <row r="8" spans="1:20" ht="21" customHeight="1">
      <c r="A8" s="31"/>
      <c r="B8" s="26" t="s">
        <v>32</v>
      </c>
      <c r="C8" s="27" t="s">
        <v>29</v>
      </c>
      <c r="D8" s="28" t="str">
        <f t="shared" si="0"/>
        <v/>
      </c>
      <c r="E8" s="28" t="str">
        <f t="shared" si="1"/>
        <v/>
      </c>
      <c r="F8" s="28" t="str">
        <f t="shared" si="2"/>
        <v/>
      </c>
      <c r="G8" s="28" t="str">
        <f t="shared" si="3"/>
        <v/>
      </c>
      <c r="H8" s="28" t="str">
        <f t="shared" si="4"/>
        <v/>
      </c>
      <c r="I8" s="28" t="str">
        <f t="shared" si="5"/>
        <v>◀</v>
      </c>
      <c r="J8" s="28" t="str">
        <f t="shared" si="6"/>
        <v/>
      </c>
      <c r="K8" s="28" t="str">
        <f t="shared" si="7"/>
        <v/>
      </c>
      <c r="L8" s="28" t="str">
        <f t="shared" si="8"/>
        <v/>
      </c>
      <c r="M8" s="28" t="str">
        <f t="shared" si="9"/>
        <v/>
      </c>
      <c r="N8" s="28" t="str">
        <f t="shared" si="10"/>
        <v/>
      </c>
      <c r="O8" s="28" t="str">
        <f t="shared" si="11"/>
        <v/>
      </c>
      <c r="P8" s="28" t="str">
        <f t="shared" si="12"/>
        <v/>
      </c>
      <c r="Q8" s="28" t="str">
        <f t="shared" si="13"/>
        <v/>
      </c>
      <c r="R8" s="29">
        <f>EDATE($C$2,-7)</f>
        <v>46282</v>
      </c>
      <c r="S8" s="29">
        <f>EDATE($C$2,-6)</f>
        <v>46312</v>
      </c>
      <c r="T8" s="30">
        <v>3</v>
      </c>
    </row>
    <row r="9" spans="1:20" ht="21" customHeight="1">
      <c r="A9" s="31"/>
      <c r="B9" s="26" t="s">
        <v>33</v>
      </c>
      <c r="C9" s="27" t="s">
        <v>29</v>
      </c>
      <c r="D9" s="28" t="str">
        <f t="shared" si="0"/>
        <v/>
      </c>
      <c r="E9" s="28" t="str">
        <f t="shared" si="1"/>
        <v/>
      </c>
      <c r="F9" s="28" t="str">
        <f t="shared" si="2"/>
        <v/>
      </c>
      <c r="G9" s="28" t="str">
        <f t="shared" si="3"/>
        <v/>
      </c>
      <c r="H9" s="28" t="str">
        <f t="shared" si="4"/>
        <v/>
      </c>
      <c r="I9" s="28" t="str">
        <f t="shared" si="5"/>
        <v/>
      </c>
      <c r="J9" s="28" t="str">
        <f t="shared" si="6"/>
        <v>◀</v>
      </c>
      <c r="K9" s="28" t="str">
        <f t="shared" si="7"/>
        <v/>
      </c>
      <c r="L9" s="28" t="str">
        <f t="shared" si="8"/>
        <v/>
      </c>
      <c r="M9" s="28" t="str">
        <f t="shared" si="9"/>
        <v/>
      </c>
      <c r="N9" s="28" t="str">
        <f t="shared" si="10"/>
        <v/>
      </c>
      <c r="O9" s="28" t="str">
        <f t="shared" si="11"/>
        <v/>
      </c>
      <c r="P9" s="28" t="str">
        <f t="shared" si="12"/>
        <v/>
      </c>
      <c r="Q9" s="28" t="str">
        <f t="shared" si="13"/>
        <v/>
      </c>
      <c r="R9" s="29">
        <f>EDATE($C$2,-6)</f>
        <v>46312</v>
      </c>
      <c r="S9" s="29">
        <f>EDATE($C$2,-5)</f>
        <v>46343</v>
      </c>
      <c r="T9" s="30">
        <v>3</v>
      </c>
    </row>
    <row r="10" spans="1:20" ht="21" customHeight="1">
      <c r="A10" s="31"/>
      <c r="B10" s="26" t="s">
        <v>34</v>
      </c>
      <c r="C10" s="27" t="s">
        <v>29</v>
      </c>
      <c r="D10" s="28" t="str">
        <f t="shared" si="0"/>
        <v/>
      </c>
      <c r="E10" s="28" t="str">
        <f t="shared" si="1"/>
        <v/>
      </c>
      <c r="F10" s="28" t="str">
        <f t="shared" si="2"/>
        <v/>
      </c>
      <c r="G10" s="28" t="str">
        <f t="shared" si="3"/>
        <v/>
      </c>
      <c r="H10" s="28" t="str">
        <f t="shared" si="4"/>
        <v/>
      </c>
      <c r="I10" s="28" t="str">
        <f t="shared" si="5"/>
        <v>◀</v>
      </c>
      <c r="J10" s="28" t="str">
        <f t="shared" si="6"/>
        <v/>
      </c>
      <c r="K10" s="28" t="str">
        <f t="shared" si="7"/>
        <v/>
      </c>
      <c r="L10" s="28" t="str">
        <f t="shared" si="8"/>
        <v/>
      </c>
      <c r="M10" s="28" t="str">
        <f t="shared" si="9"/>
        <v/>
      </c>
      <c r="N10" s="28" t="str">
        <f t="shared" si="10"/>
        <v/>
      </c>
      <c r="O10" s="28" t="str">
        <f t="shared" si="11"/>
        <v/>
      </c>
      <c r="P10" s="28" t="str">
        <f t="shared" si="12"/>
        <v/>
      </c>
      <c r="Q10" s="28" t="str">
        <f t="shared" si="13"/>
        <v/>
      </c>
      <c r="R10" s="29">
        <f>EDATE($C$2,-7)</f>
        <v>46282</v>
      </c>
      <c r="S10" s="29">
        <f>EDATE($C$2,-6)</f>
        <v>46312</v>
      </c>
      <c r="T10" s="30">
        <v>3</v>
      </c>
    </row>
    <row r="11" spans="1:20" ht="21" customHeight="1">
      <c r="A11" s="32" t="s">
        <v>35</v>
      </c>
      <c r="B11" s="33" t="s">
        <v>36</v>
      </c>
      <c r="C11" s="27" t="s">
        <v>29</v>
      </c>
      <c r="D11" s="34" t="str">
        <f t="shared" si="0"/>
        <v/>
      </c>
      <c r="E11" s="34" t="str">
        <f t="shared" si="1"/>
        <v/>
      </c>
      <c r="F11" s="34" t="str">
        <f t="shared" si="2"/>
        <v>─</v>
      </c>
      <c r="G11" s="34" t="str">
        <f t="shared" si="3"/>
        <v>◀</v>
      </c>
      <c r="H11" s="34" t="str">
        <f t="shared" si="4"/>
        <v/>
      </c>
      <c r="I11" s="34" t="str">
        <f t="shared" si="5"/>
        <v/>
      </c>
      <c r="J11" s="34" t="str">
        <f t="shared" si="6"/>
        <v/>
      </c>
      <c r="K11" s="34" t="str">
        <f t="shared" si="7"/>
        <v/>
      </c>
      <c r="L11" s="34" t="str">
        <f t="shared" si="8"/>
        <v/>
      </c>
      <c r="M11" s="34" t="str">
        <f t="shared" si="9"/>
        <v/>
      </c>
      <c r="N11" s="34" t="str">
        <f t="shared" si="10"/>
        <v/>
      </c>
      <c r="O11" s="34" t="str">
        <f t="shared" si="11"/>
        <v/>
      </c>
      <c r="P11" s="34" t="str">
        <f t="shared" si="12"/>
        <v/>
      </c>
      <c r="Q11" s="34" t="str">
        <f t="shared" si="13"/>
        <v/>
      </c>
      <c r="R11" s="29">
        <f>EDATE('完整 Checklist'!F11,-1)</f>
        <v>46203</v>
      </c>
      <c r="S11" s="29">
        <f>EDATE($R$11,2)</f>
        <v>46264</v>
      </c>
      <c r="T11" s="30">
        <v>3</v>
      </c>
    </row>
    <row r="12" spans="1:20" ht="21" customHeight="1">
      <c r="A12" s="35"/>
      <c r="B12" s="33" t="s">
        <v>37</v>
      </c>
      <c r="C12" s="27" t="s">
        <v>29</v>
      </c>
      <c r="D12" s="34" t="str">
        <f t="shared" si="0"/>
        <v/>
      </c>
      <c r="E12" s="34" t="str">
        <f t="shared" si="1"/>
        <v/>
      </c>
      <c r="F12" s="34" t="str">
        <f t="shared" si="2"/>
        <v/>
      </c>
      <c r="G12" s="34" t="str">
        <f t="shared" si="3"/>
        <v/>
      </c>
      <c r="H12" s="34" t="str">
        <f t="shared" si="4"/>
        <v/>
      </c>
      <c r="I12" s="34" t="str">
        <f t="shared" si="5"/>
        <v/>
      </c>
      <c r="J12" s="34" t="str">
        <f t="shared" si="6"/>
        <v>─</v>
      </c>
      <c r="K12" s="34" t="str">
        <f t="shared" si="7"/>
        <v>◀</v>
      </c>
      <c r="L12" s="34" t="str">
        <f t="shared" si="8"/>
        <v/>
      </c>
      <c r="M12" s="34" t="str">
        <f t="shared" si="9"/>
        <v/>
      </c>
      <c r="N12" s="34" t="str">
        <f t="shared" si="10"/>
        <v/>
      </c>
      <c r="O12" s="34" t="str">
        <f t="shared" si="11"/>
        <v/>
      </c>
      <c r="P12" s="34" t="str">
        <f t="shared" si="12"/>
        <v/>
      </c>
      <c r="Q12" s="34" t="str">
        <f t="shared" si="13"/>
        <v/>
      </c>
      <c r="R12" s="29">
        <f>EDATE($C$2,-6)</f>
        <v>46312</v>
      </c>
      <c r="S12" s="29">
        <f>EDATE($C$2,-4)</f>
        <v>46373</v>
      </c>
      <c r="T12" s="30">
        <v>3</v>
      </c>
    </row>
    <row r="13" spans="1:20" ht="21" customHeight="1">
      <c r="A13" s="35"/>
      <c r="B13" s="33" t="s">
        <v>38</v>
      </c>
      <c r="C13" s="27" t="s">
        <v>29</v>
      </c>
      <c r="D13" s="34" t="str">
        <f t="shared" si="0"/>
        <v/>
      </c>
      <c r="E13" s="34" t="str">
        <f t="shared" si="1"/>
        <v/>
      </c>
      <c r="F13" s="34" t="str">
        <f t="shared" si="2"/>
        <v/>
      </c>
      <c r="G13" s="34" t="str">
        <f t="shared" si="3"/>
        <v/>
      </c>
      <c r="H13" s="34" t="str">
        <f t="shared" si="4"/>
        <v/>
      </c>
      <c r="I13" s="34" t="str">
        <f t="shared" si="5"/>
        <v/>
      </c>
      <c r="J13" s="34" t="str">
        <f t="shared" si="6"/>
        <v>─</v>
      </c>
      <c r="K13" s="34" t="str">
        <f t="shared" si="7"/>
        <v>─</v>
      </c>
      <c r="L13" s="34" t="str">
        <f t="shared" si="8"/>
        <v>◀</v>
      </c>
      <c r="M13" s="34" t="str">
        <f t="shared" si="9"/>
        <v/>
      </c>
      <c r="N13" s="34" t="str">
        <f t="shared" si="10"/>
        <v/>
      </c>
      <c r="O13" s="34" t="str">
        <f t="shared" si="11"/>
        <v/>
      </c>
      <c r="P13" s="34" t="str">
        <f t="shared" si="12"/>
        <v/>
      </c>
      <c r="Q13" s="34" t="str">
        <f t="shared" si="13"/>
        <v/>
      </c>
      <c r="R13" s="29">
        <f>EDATE($C$2,-6)</f>
        <v>46312</v>
      </c>
      <c r="S13" s="29">
        <f>EDATE($C$2,-3)</f>
        <v>46404</v>
      </c>
      <c r="T13" s="30">
        <v>3</v>
      </c>
    </row>
    <row r="14" spans="1:20" ht="21" customHeight="1">
      <c r="A14" s="35"/>
      <c r="B14" s="33" t="s">
        <v>39</v>
      </c>
      <c r="C14" s="27" t="s">
        <v>29</v>
      </c>
      <c r="D14" s="34" t="str">
        <f t="shared" si="0"/>
        <v/>
      </c>
      <c r="E14" s="34" t="str">
        <f t="shared" si="1"/>
        <v/>
      </c>
      <c r="F14" s="34" t="str">
        <f t="shared" si="2"/>
        <v/>
      </c>
      <c r="G14" s="34" t="str">
        <f t="shared" si="3"/>
        <v/>
      </c>
      <c r="H14" s="34" t="str">
        <f t="shared" si="4"/>
        <v/>
      </c>
      <c r="I14" s="34" t="str">
        <f t="shared" si="5"/>
        <v/>
      </c>
      <c r="J14" s="34" t="str">
        <f t="shared" si="6"/>
        <v>─</v>
      </c>
      <c r="K14" s="34" t="str">
        <f t="shared" si="7"/>
        <v>─</v>
      </c>
      <c r="L14" s="34" t="str">
        <f t="shared" si="8"/>
        <v>◀</v>
      </c>
      <c r="M14" s="34" t="str">
        <f t="shared" si="9"/>
        <v/>
      </c>
      <c r="N14" s="34" t="str">
        <f t="shared" si="10"/>
        <v/>
      </c>
      <c r="O14" s="34" t="str">
        <f t="shared" si="11"/>
        <v/>
      </c>
      <c r="P14" s="34" t="str">
        <f t="shared" si="12"/>
        <v/>
      </c>
      <c r="Q14" s="34" t="str">
        <f t="shared" si="13"/>
        <v/>
      </c>
      <c r="R14" s="29">
        <f>EDATE($C$2,-6)</f>
        <v>46312</v>
      </c>
      <c r="S14" s="29">
        <f>EDATE($C$2,-3)</f>
        <v>46404</v>
      </c>
      <c r="T14" s="30">
        <v>3</v>
      </c>
    </row>
    <row r="15" spans="1:20" ht="21" customHeight="1">
      <c r="A15" s="35"/>
      <c r="B15" s="33" t="s">
        <v>40</v>
      </c>
      <c r="C15" s="36" t="s">
        <v>41</v>
      </c>
      <c r="D15" s="34" t="str">
        <f t="shared" si="0"/>
        <v/>
      </c>
      <c r="E15" s="34" t="str">
        <f t="shared" si="1"/>
        <v/>
      </c>
      <c r="F15" s="34" t="str">
        <f t="shared" si="2"/>
        <v/>
      </c>
      <c r="G15" s="34" t="str">
        <f t="shared" si="3"/>
        <v/>
      </c>
      <c r="H15" s="34" t="str">
        <f t="shared" si="4"/>
        <v/>
      </c>
      <c r="I15" s="34" t="str">
        <f t="shared" si="5"/>
        <v/>
      </c>
      <c r="J15" s="34" t="str">
        <f t="shared" si="6"/>
        <v>─</v>
      </c>
      <c r="K15" s="34" t="str">
        <f t="shared" si="7"/>
        <v>─</v>
      </c>
      <c r="L15" s="34" t="str">
        <f t="shared" si="8"/>
        <v>◀</v>
      </c>
      <c r="M15" s="34" t="str">
        <f t="shared" si="9"/>
        <v/>
      </c>
      <c r="N15" s="34" t="str">
        <f t="shared" si="10"/>
        <v/>
      </c>
      <c r="O15" s="34" t="str">
        <f t="shared" si="11"/>
        <v/>
      </c>
      <c r="P15" s="34" t="str">
        <f t="shared" si="12"/>
        <v/>
      </c>
      <c r="Q15" s="34" t="str">
        <f t="shared" si="13"/>
        <v/>
      </c>
      <c r="R15" s="29">
        <f>EDATE($C$2,-6)</f>
        <v>46312</v>
      </c>
      <c r="S15" s="29">
        <f>EDATE($C$2,-3)</f>
        <v>46404</v>
      </c>
      <c r="T15" s="30">
        <v>2</v>
      </c>
    </row>
    <row r="16" spans="1:20" ht="21" customHeight="1">
      <c r="A16" s="35"/>
      <c r="B16" s="33" t="s">
        <v>42</v>
      </c>
      <c r="C16" s="27" t="s">
        <v>29</v>
      </c>
      <c r="D16" s="34" t="str">
        <f t="shared" si="0"/>
        <v/>
      </c>
      <c r="E16" s="34" t="str">
        <f t="shared" si="1"/>
        <v/>
      </c>
      <c r="F16" s="34" t="str">
        <f t="shared" si="2"/>
        <v/>
      </c>
      <c r="G16" s="34" t="str">
        <f t="shared" si="3"/>
        <v/>
      </c>
      <c r="H16" s="34" t="str">
        <f t="shared" si="4"/>
        <v/>
      </c>
      <c r="I16" s="34" t="str">
        <f t="shared" si="5"/>
        <v/>
      </c>
      <c r="J16" s="34" t="str">
        <f t="shared" si="6"/>
        <v/>
      </c>
      <c r="K16" s="34" t="str">
        <f t="shared" si="7"/>
        <v>─</v>
      </c>
      <c r="L16" s="34" t="str">
        <f t="shared" si="8"/>
        <v>◀</v>
      </c>
      <c r="M16" s="34" t="str">
        <f t="shared" si="9"/>
        <v/>
      </c>
      <c r="N16" s="34" t="str">
        <f t="shared" si="10"/>
        <v/>
      </c>
      <c r="O16" s="34" t="str">
        <f t="shared" si="11"/>
        <v/>
      </c>
      <c r="P16" s="34" t="str">
        <f t="shared" si="12"/>
        <v/>
      </c>
      <c r="Q16" s="34" t="str">
        <f t="shared" si="13"/>
        <v/>
      </c>
      <c r="R16" s="29">
        <f>EDATE($C$2,-5)</f>
        <v>46343</v>
      </c>
      <c r="S16" s="29">
        <f>EDATE($C$2,-3)</f>
        <v>46404</v>
      </c>
      <c r="T16" s="30">
        <v>3</v>
      </c>
    </row>
    <row r="17" spans="1:20" ht="21" customHeight="1">
      <c r="A17" s="35"/>
      <c r="B17" s="33" t="s">
        <v>43</v>
      </c>
      <c r="C17" s="27" t="s">
        <v>29</v>
      </c>
      <c r="D17" s="34" t="str">
        <f t="shared" si="0"/>
        <v/>
      </c>
      <c r="E17" s="34" t="str">
        <f t="shared" si="1"/>
        <v/>
      </c>
      <c r="F17" s="34" t="str">
        <f t="shared" si="2"/>
        <v/>
      </c>
      <c r="G17" s="34" t="str">
        <f t="shared" si="3"/>
        <v/>
      </c>
      <c r="H17" s="34" t="str">
        <f t="shared" si="4"/>
        <v/>
      </c>
      <c r="I17" s="34" t="str">
        <f t="shared" si="5"/>
        <v/>
      </c>
      <c r="J17" s="34" t="str">
        <f t="shared" si="6"/>
        <v/>
      </c>
      <c r="K17" s="34" t="str">
        <f t="shared" si="7"/>
        <v>─</v>
      </c>
      <c r="L17" s="34" t="str">
        <f t="shared" si="8"/>
        <v>─</v>
      </c>
      <c r="M17" s="34" t="str">
        <f t="shared" si="9"/>
        <v>◀</v>
      </c>
      <c r="N17" s="34" t="str">
        <f t="shared" si="10"/>
        <v/>
      </c>
      <c r="O17" s="34" t="str">
        <f t="shared" si="11"/>
        <v/>
      </c>
      <c r="P17" s="34" t="str">
        <f t="shared" si="12"/>
        <v/>
      </c>
      <c r="Q17" s="34" t="str">
        <f t="shared" si="13"/>
        <v/>
      </c>
      <c r="R17" s="29">
        <f>EDATE($C$2,-5)</f>
        <v>46343</v>
      </c>
      <c r="S17" s="29">
        <f>EDATE($C$2,-2)</f>
        <v>46435</v>
      </c>
      <c r="T17" s="30">
        <v>3</v>
      </c>
    </row>
    <row r="18" spans="1:20" ht="21" customHeight="1">
      <c r="A18" s="37" t="s">
        <v>44</v>
      </c>
      <c r="B18" s="38" t="s">
        <v>45</v>
      </c>
      <c r="C18" s="27" t="s">
        <v>29</v>
      </c>
      <c r="D18" s="39" t="str">
        <f t="shared" si="0"/>
        <v/>
      </c>
      <c r="E18" s="39" t="str">
        <f t="shared" si="1"/>
        <v/>
      </c>
      <c r="F18" s="39" t="str">
        <f t="shared" si="2"/>
        <v/>
      </c>
      <c r="G18" s="39" t="str">
        <f t="shared" si="3"/>
        <v/>
      </c>
      <c r="H18" s="39" t="str">
        <f t="shared" si="4"/>
        <v/>
      </c>
      <c r="I18" s="39" t="str">
        <f t="shared" si="5"/>
        <v/>
      </c>
      <c r="J18" s="39" t="str">
        <f t="shared" si="6"/>
        <v/>
      </c>
      <c r="K18" s="39" t="str">
        <f t="shared" si="7"/>
        <v/>
      </c>
      <c r="L18" s="39" t="str">
        <f t="shared" si="8"/>
        <v>─</v>
      </c>
      <c r="M18" s="39" t="str">
        <f t="shared" si="9"/>
        <v>─</v>
      </c>
      <c r="N18" s="39" t="str">
        <f t="shared" si="10"/>
        <v>◀</v>
      </c>
      <c r="O18" s="39" t="str">
        <f t="shared" si="11"/>
        <v/>
      </c>
      <c r="P18" s="39" t="str">
        <f t="shared" si="12"/>
        <v/>
      </c>
      <c r="Q18" s="39" t="str">
        <f t="shared" si="13"/>
        <v/>
      </c>
      <c r="R18" s="29">
        <f>EDATE($C$2,-4)</f>
        <v>46373</v>
      </c>
      <c r="S18" s="29">
        <f>EDATE($C$2,-1)</f>
        <v>46463</v>
      </c>
      <c r="T18" s="30">
        <v>3</v>
      </c>
    </row>
    <row r="19" spans="1:20" ht="21" customHeight="1">
      <c r="A19" s="40"/>
      <c r="B19" s="38" t="s">
        <v>46</v>
      </c>
      <c r="C19" s="27" t="s">
        <v>29</v>
      </c>
      <c r="D19" s="39" t="str">
        <f t="shared" si="0"/>
        <v/>
      </c>
      <c r="E19" s="39" t="str">
        <f t="shared" si="1"/>
        <v/>
      </c>
      <c r="F19" s="39" t="str">
        <f t="shared" si="2"/>
        <v/>
      </c>
      <c r="G19" s="39" t="str">
        <f t="shared" si="3"/>
        <v/>
      </c>
      <c r="H19" s="39" t="str">
        <f t="shared" si="4"/>
        <v/>
      </c>
      <c r="I19" s="39" t="str">
        <f t="shared" si="5"/>
        <v/>
      </c>
      <c r="J19" s="39" t="str">
        <f t="shared" si="6"/>
        <v/>
      </c>
      <c r="K19" s="39" t="str">
        <f t="shared" si="7"/>
        <v/>
      </c>
      <c r="L19" s="39" t="str">
        <f t="shared" si="8"/>
        <v/>
      </c>
      <c r="M19" s="39" t="str">
        <f t="shared" si="9"/>
        <v/>
      </c>
      <c r="N19" s="39" t="str">
        <f t="shared" si="10"/>
        <v/>
      </c>
      <c r="O19" s="39" t="str">
        <f t="shared" si="11"/>
        <v>◀</v>
      </c>
      <c r="P19" s="39" t="str">
        <f t="shared" si="12"/>
        <v/>
      </c>
      <c r="Q19" s="39" t="str">
        <f t="shared" si="13"/>
        <v/>
      </c>
      <c r="R19" s="29">
        <f>EDATE($C$2,-1)</f>
        <v>46463</v>
      </c>
      <c r="S19" s="29">
        <f>EDATE($C$2,0)</f>
        <v>46494</v>
      </c>
      <c r="T19" s="30">
        <v>3</v>
      </c>
    </row>
    <row r="20" spans="1:20" ht="21" customHeight="1">
      <c r="A20" s="41" t="s">
        <v>47</v>
      </c>
      <c r="B20" s="42" t="s">
        <v>48</v>
      </c>
      <c r="C20" s="43" t="s">
        <v>49</v>
      </c>
      <c r="D20" s="44" t="str">
        <f t="shared" si="0"/>
        <v/>
      </c>
      <c r="E20" s="44" t="str">
        <f t="shared" si="1"/>
        <v/>
      </c>
      <c r="F20" s="44" t="str">
        <f t="shared" si="2"/>
        <v/>
      </c>
      <c r="G20" s="44" t="str">
        <f t="shared" si="3"/>
        <v/>
      </c>
      <c r="H20" s="44" t="str">
        <f t="shared" si="4"/>
        <v/>
      </c>
      <c r="I20" s="44" t="str">
        <f t="shared" si="5"/>
        <v/>
      </c>
      <c r="J20" s="44" t="str">
        <f t="shared" si="6"/>
        <v>─</v>
      </c>
      <c r="K20" s="44" t="str">
        <f t="shared" si="7"/>
        <v>◀</v>
      </c>
      <c r="L20" s="44" t="str">
        <f t="shared" si="8"/>
        <v/>
      </c>
      <c r="M20" s="44" t="str">
        <f t="shared" si="9"/>
        <v/>
      </c>
      <c r="N20" s="44" t="str">
        <f t="shared" si="10"/>
        <v/>
      </c>
      <c r="O20" s="44" t="str">
        <f t="shared" si="11"/>
        <v/>
      </c>
      <c r="P20" s="44" t="str">
        <f t="shared" si="12"/>
        <v/>
      </c>
      <c r="Q20" s="44" t="str">
        <f t="shared" si="13"/>
        <v/>
      </c>
      <c r="R20" s="29">
        <f>EDATE($C$2,-6)</f>
        <v>46312</v>
      </c>
      <c r="S20" s="29">
        <f>EDATE($C$2,-4)</f>
        <v>46373</v>
      </c>
      <c r="T20" s="30">
        <v>1</v>
      </c>
    </row>
    <row r="21" spans="1:20" ht="21" customHeight="1">
      <c r="A21" s="45"/>
      <c r="B21" s="42" t="s">
        <v>50</v>
      </c>
      <c r="C21" s="43" t="s">
        <v>49</v>
      </c>
      <c r="D21" s="44" t="str">
        <f t="shared" si="0"/>
        <v/>
      </c>
      <c r="E21" s="44" t="str">
        <f t="shared" si="1"/>
        <v/>
      </c>
      <c r="F21" s="44" t="str">
        <f t="shared" si="2"/>
        <v/>
      </c>
      <c r="G21" s="44" t="str">
        <f t="shared" si="3"/>
        <v/>
      </c>
      <c r="H21" s="44" t="str">
        <f t="shared" si="4"/>
        <v/>
      </c>
      <c r="I21" s="44" t="str">
        <f t="shared" si="5"/>
        <v/>
      </c>
      <c r="J21" s="44" t="str">
        <f t="shared" si="6"/>
        <v/>
      </c>
      <c r="K21" s="44" t="str">
        <f t="shared" si="7"/>
        <v/>
      </c>
      <c r="L21" s="44" t="str">
        <f t="shared" si="8"/>
        <v/>
      </c>
      <c r="M21" s="44" t="str">
        <f t="shared" si="9"/>
        <v>─</v>
      </c>
      <c r="N21" s="44" t="str">
        <f t="shared" si="10"/>
        <v>◀</v>
      </c>
      <c r="O21" s="44" t="str">
        <f t="shared" si="11"/>
        <v/>
      </c>
      <c r="P21" s="44" t="str">
        <f t="shared" si="12"/>
        <v/>
      </c>
      <c r="Q21" s="44" t="str">
        <f t="shared" si="13"/>
        <v/>
      </c>
      <c r="R21" s="29">
        <f>EDATE($C$2,-3)</f>
        <v>46404</v>
      </c>
      <c r="S21" s="29">
        <f>EDATE($C$2,-1)</f>
        <v>46463</v>
      </c>
      <c r="T21" s="30">
        <v>1</v>
      </c>
    </row>
    <row r="22" spans="1:20" ht="21" customHeight="1">
      <c r="A22" s="45"/>
      <c r="B22" s="42" t="s">
        <v>51</v>
      </c>
      <c r="C22" s="43" t="s">
        <v>49</v>
      </c>
      <c r="D22" s="44" t="str">
        <f t="shared" si="0"/>
        <v/>
      </c>
      <c r="E22" s="44" t="str">
        <f t="shared" si="1"/>
        <v/>
      </c>
      <c r="F22" s="44" t="str">
        <f t="shared" si="2"/>
        <v/>
      </c>
      <c r="G22" s="44" t="str">
        <f t="shared" si="3"/>
        <v/>
      </c>
      <c r="H22" s="44" t="str">
        <f t="shared" si="4"/>
        <v/>
      </c>
      <c r="I22" s="44" t="str">
        <f t="shared" si="5"/>
        <v/>
      </c>
      <c r="J22" s="44" t="str">
        <f t="shared" si="6"/>
        <v/>
      </c>
      <c r="K22" s="44" t="str">
        <f t="shared" si="7"/>
        <v>─</v>
      </c>
      <c r="L22" s="44" t="str">
        <f t="shared" si="8"/>
        <v>─</v>
      </c>
      <c r="M22" s="44" t="str">
        <f t="shared" si="9"/>
        <v>◀</v>
      </c>
      <c r="N22" s="44" t="str">
        <f t="shared" si="10"/>
        <v/>
      </c>
      <c r="O22" s="44" t="str">
        <f t="shared" si="11"/>
        <v/>
      </c>
      <c r="P22" s="44" t="str">
        <f t="shared" si="12"/>
        <v/>
      </c>
      <c r="Q22" s="44" t="str">
        <f t="shared" si="13"/>
        <v/>
      </c>
      <c r="R22" s="29">
        <f>EDATE($C$2,-5)</f>
        <v>46343</v>
      </c>
      <c r="S22" s="29">
        <f>EDATE($C$2,-2)</f>
        <v>46435</v>
      </c>
      <c r="T22" s="30">
        <v>1</v>
      </c>
    </row>
    <row r="23" spans="1:20" ht="21" customHeight="1">
      <c r="A23" s="45"/>
      <c r="B23" s="42" t="s">
        <v>52</v>
      </c>
      <c r="C23" s="43" t="s">
        <v>49</v>
      </c>
      <c r="D23" s="44" t="str">
        <f t="shared" si="0"/>
        <v/>
      </c>
      <c r="E23" s="44" t="str">
        <f t="shared" si="1"/>
        <v/>
      </c>
      <c r="F23" s="44" t="str">
        <f t="shared" si="2"/>
        <v/>
      </c>
      <c r="G23" s="44" t="str">
        <f t="shared" si="3"/>
        <v/>
      </c>
      <c r="H23" s="44" t="str">
        <f t="shared" si="4"/>
        <v/>
      </c>
      <c r="I23" s="44" t="str">
        <f t="shared" si="5"/>
        <v/>
      </c>
      <c r="J23" s="44" t="str">
        <f t="shared" si="6"/>
        <v/>
      </c>
      <c r="K23" s="44" t="str">
        <f t="shared" si="7"/>
        <v/>
      </c>
      <c r="L23" s="44" t="str">
        <f t="shared" si="8"/>
        <v/>
      </c>
      <c r="M23" s="44" t="str">
        <f t="shared" si="9"/>
        <v/>
      </c>
      <c r="N23" s="44" t="str">
        <f t="shared" si="10"/>
        <v>◀</v>
      </c>
      <c r="O23" s="44" t="str">
        <f t="shared" si="11"/>
        <v/>
      </c>
      <c r="P23" s="44" t="str">
        <f t="shared" si="12"/>
        <v/>
      </c>
      <c r="Q23" s="44" t="str">
        <f t="shared" si="13"/>
        <v/>
      </c>
      <c r="R23" s="29">
        <f>EDATE($C$2,-2)</f>
        <v>46435</v>
      </c>
      <c r="S23" s="29">
        <f>EDATE($C$2,-1)</f>
        <v>46463</v>
      </c>
      <c r="T23" s="30">
        <v>1</v>
      </c>
    </row>
    <row r="24" spans="1:20" ht="21" customHeight="1">
      <c r="A24" s="45"/>
      <c r="B24" s="42" t="s">
        <v>53</v>
      </c>
      <c r="C24" s="43" t="s">
        <v>49</v>
      </c>
      <c r="D24" s="44" t="str">
        <f t="shared" si="0"/>
        <v/>
      </c>
      <c r="E24" s="44" t="str">
        <f t="shared" si="1"/>
        <v/>
      </c>
      <c r="F24" s="44" t="str">
        <f t="shared" si="2"/>
        <v/>
      </c>
      <c r="G24" s="44" t="str">
        <f t="shared" si="3"/>
        <v/>
      </c>
      <c r="H24" s="44" t="str">
        <f t="shared" si="4"/>
        <v/>
      </c>
      <c r="I24" s="44" t="str">
        <f t="shared" si="5"/>
        <v/>
      </c>
      <c r="J24" s="44" t="str">
        <f t="shared" si="6"/>
        <v/>
      </c>
      <c r="K24" s="44" t="str">
        <f t="shared" si="7"/>
        <v/>
      </c>
      <c r="L24" s="44" t="str">
        <f t="shared" si="8"/>
        <v/>
      </c>
      <c r="M24" s="44" t="str">
        <f t="shared" si="9"/>
        <v>─</v>
      </c>
      <c r="N24" s="44" t="str">
        <f t="shared" si="10"/>
        <v>◀</v>
      </c>
      <c r="O24" s="44" t="str">
        <f t="shared" si="11"/>
        <v/>
      </c>
      <c r="P24" s="44" t="str">
        <f t="shared" si="12"/>
        <v/>
      </c>
      <c r="Q24" s="44" t="str">
        <f t="shared" si="13"/>
        <v/>
      </c>
      <c r="R24" s="29">
        <f>EDATE($C$2,-3)</f>
        <v>46404</v>
      </c>
      <c r="S24" s="29">
        <f>EDATE($C$2,-1)</f>
        <v>46463</v>
      </c>
      <c r="T24" s="30">
        <v>1</v>
      </c>
    </row>
    <row r="25" spans="1:20" ht="21" customHeight="1">
      <c r="A25" s="45"/>
      <c r="B25" s="42" t="s">
        <v>54</v>
      </c>
      <c r="C25" s="43" t="s">
        <v>49</v>
      </c>
      <c r="D25" s="44" t="str">
        <f t="shared" si="0"/>
        <v/>
      </c>
      <c r="E25" s="44" t="str">
        <f t="shared" si="1"/>
        <v/>
      </c>
      <c r="F25" s="44" t="str">
        <f t="shared" si="2"/>
        <v/>
      </c>
      <c r="G25" s="44" t="str">
        <f t="shared" si="3"/>
        <v/>
      </c>
      <c r="H25" s="44" t="str">
        <f t="shared" si="4"/>
        <v/>
      </c>
      <c r="I25" s="44" t="str">
        <f t="shared" si="5"/>
        <v/>
      </c>
      <c r="J25" s="44" t="str">
        <f t="shared" si="6"/>
        <v/>
      </c>
      <c r="K25" s="44" t="str">
        <f t="shared" si="7"/>
        <v/>
      </c>
      <c r="L25" s="44" t="str">
        <f t="shared" si="8"/>
        <v/>
      </c>
      <c r="M25" s="44" t="str">
        <f t="shared" si="9"/>
        <v/>
      </c>
      <c r="N25" s="44" t="str">
        <f t="shared" si="10"/>
        <v>◀</v>
      </c>
      <c r="O25" s="44" t="str">
        <f t="shared" si="11"/>
        <v/>
      </c>
      <c r="P25" s="44" t="str">
        <f t="shared" si="12"/>
        <v/>
      </c>
      <c r="Q25" s="44" t="str">
        <f t="shared" si="13"/>
        <v/>
      </c>
      <c r="R25" s="29">
        <f>EDATE($C$2,-2)</f>
        <v>46435</v>
      </c>
      <c r="S25" s="29">
        <f>EDATE($C$2,-1)</f>
        <v>46463</v>
      </c>
      <c r="T25" s="30">
        <v>1</v>
      </c>
    </row>
    <row r="26" spans="1:20" ht="21" customHeight="1">
      <c r="A26" s="45"/>
      <c r="B26" s="42" t="s">
        <v>55</v>
      </c>
      <c r="C26" s="43" t="s">
        <v>49</v>
      </c>
      <c r="D26" s="44" t="str">
        <f t="shared" si="0"/>
        <v/>
      </c>
      <c r="E26" s="44" t="str">
        <f t="shared" si="1"/>
        <v/>
      </c>
      <c r="F26" s="44" t="str">
        <f t="shared" si="2"/>
        <v/>
      </c>
      <c r="G26" s="44" t="str">
        <f t="shared" si="3"/>
        <v/>
      </c>
      <c r="H26" s="44" t="str">
        <f t="shared" si="4"/>
        <v/>
      </c>
      <c r="I26" s="44" t="str">
        <f t="shared" si="5"/>
        <v/>
      </c>
      <c r="J26" s="44" t="str">
        <f t="shared" si="6"/>
        <v/>
      </c>
      <c r="K26" s="44" t="str">
        <f t="shared" si="7"/>
        <v/>
      </c>
      <c r="L26" s="44" t="str">
        <f t="shared" si="8"/>
        <v/>
      </c>
      <c r="M26" s="44" t="str">
        <f t="shared" si="9"/>
        <v/>
      </c>
      <c r="N26" s="44" t="str">
        <f t="shared" si="10"/>
        <v/>
      </c>
      <c r="O26" s="44" t="str">
        <f t="shared" si="11"/>
        <v>◀</v>
      </c>
      <c r="P26" s="44" t="str">
        <f t="shared" si="12"/>
        <v/>
      </c>
      <c r="Q26" s="44" t="str">
        <f t="shared" si="13"/>
        <v/>
      </c>
      <c r="R26" s="29">
        <f>EDATE($C$2,-1)</f>
        <v>46463</v>
      </c>
      <c r="S26" s="29">
        <f>EDATE($C$2,0)</f>
        <v>46494</v>
      </c>
      <c r="T26" s="30">
        <v>1</v>
      </c>
    </row>
    <row r="27" spans="1:20" ht="21" customHeight="1">
      <c r="A27" s="46" t="s">
        <v>56</v>
      </c>
      <c r="B27" s="47" t="s">
        <v>57</v>
      </c>
      <c r="C27" s="36" t="s">
        <v>41</v>
      </c>
      <c r="D27" s="48" t="str">
        <f t="shared" si="0"/>
        <v/>
      </c>
      <c r="E27" s="48" t="str">
        <f t="shared" si="1"/>
        <v/>
      </c>
      <c r="F27" s="48" t="str">
        <f t="shared" si="2"/>
        <v/>
      </c>
      <c r="G27" s="48" t="str">
        <f t="shared" si="3"/>
        <v/>
      </c>
      <c r="H27" s="48" t="str">
        <f t="shared" si="4"/>
        <v/>
      </c>
      <c r="I27" s="48" t="str">
        <f t="shared" si="5"/>
        <v/>
      </c>
      <c r="J27" s="48" t="str">
        <f t="shared" si="6"/>
        <v/>
      </c>
      <c r="K27" s="48" t="str">
        <f t="shared" si="7"/>
        <v>─</v>
      </c>
      <c r="L27" s="48" t="str">
        <f t="shared" si="8"/>
        <v>◀</v>
      </c>
      <c r="M27" s="48" t="str">
        <f t="shared" si="9"/>
        <v/>
      </c>
      <c r="N27" s="48" t="str">
        <f t="shared" si="10"/>
        <v/>
      </c>
      <c r="O27" s="48" t="str">
        <f t="shared" si="11"/>
        <v/>
      </c>
      <c r="P27" s="48" t="str">
        <f t="shared" si="12"/>
        <v/>
      </c>
      <c r="Q27" s="48" t="str">
        <f t="shared" si="13"/>
        <v/>
      </c>
      <c r="R27" s="29">
        <f>EDATE($C$2,-5)</f>
        <v>46343</v>
      </c>
      <c r="S27" s="29">
        <f>EDATE($C$2,-3)</f>
        <v>46404</v>
      </c>
      <c r="T27" s="30">
        <v>2</v>
      </c>
    </row>
    <row r="28" spans="1:20" ht="21" customHeight="1">
      <c r="A28" s="49"/>
      <c r="B28" s="47" t="s">
        <v>58</v>
      </c>
      <c r="C28" s="36" t="s">
        <v>41</v>
      </c>
      <c r="D28" s="48" t="str">
        <f t="shared" si="0"/>
        <v/>
      </c>
      <c r="E28" s="48" t="str">
        <f t="shared" si="1"/>
        <v/>
      </c>
      <c r="F28" s="48" t="str">
        <f t="shared" si="2"/>
        <v/>
      </c>
      <c r="G28" s="48" t="str">
        <f t="shared" si="3"/>
        <v/>
      </c>
      <c r="H28" s="48" t="str">
        <f t="shared" si="4"/>
        <v/>
      </c>
      <c r="I28" s="48" t="str">
        <f t="shared" si="5"/>
        <v/>
      </c>
      <c r="J28" s="48" t="str">
        <f t="shared" si="6"/>
        <v/>
      </c>
      <c r="K28" s="48" t="str">
        <f t="shared" si="7"/>
        <v/>
      </c>
      <c r="L28" s="48" t="str">
        <f t="shared" si="8"/>
        <v/>
      </c>
      <c r="M28" s="48" t="str">
        <f t="shared" si="9"/>
        <v>─</v>
      </c>
      <c r="N28" s="48" t="str">
        <f t="shared" si="10"/>
        <v>◀</v>
      </c>
      <c r="O28" s="48" t="str">
        <f t="shared" si="11"/>
        <v/>
      </c>
      <c r="P28" s="48" t="str">
        <f t="shared" si="12"/>
        <v/>
      </c>
      <c r="Q28" s="48" t="str">
        <f t="shared" si="13"/>
        <v/>
      </c>
      <c r="R28" s="29">
        <f>EDATE($C$2,-3)</f>
        <v>46404</v>
      </c>
      <c r="S28" s="29">
        <f>EDATE($C$2,-1)</f>
        <v>46463</v>
      </c>
      <c r="T28" s="30">
        <v>2</v>
      </c>
    </row>
    <row r="29" spans="1:20" ht="21" customHeight="1">
      <c r="A29" s="49"/>
      <c r="B29" s="47" t="s">
        <v>59</v>
      </c>
      <c r="C29" s="36" t="s">
        <v>41</v>
      </c>
      <c r="D29" s="48" t="str">
        <f t="shared" si="0"/>
        <v/>
      </c>
      <c r="E29" s="48" t="str">
        <f t="shared" si="1"/>
        <v/>
      </c>
      <c r="F29" s="48" t="str">
        <f t="shared" si="2"/>
        <v/>
      </c>
      <c r="G29" s="48" t="str">
        <f t="shared" si="3"/>
        <v/>
      </c>
      <c r="H29" s="48" t="str">
        <f t="shared" si="4"/>
        <v/>
      </c>
      <c r="I29" s="48" t="str">
        <f t="shared" si="5"/>
        <v/>
      </c>
      <c r="J29" s="48" t="str">
        <f t="shared" si="6"/>
        <v/>
      </c>
      <c r="K29" s="48" t="str">
        <f t="shared" si="7"/>
        <v/>
      </c>
      <c r="L29" s="48" t="str">
        <f t="shared" si="8"/>
        <v/>
      </c>
      <c r="M29" s="48" t="str">
        <f t="shared" si="9"/>
        <v/>
      </c>
      <c r="N29" s="48" t="str">
        <f t="shared" si="10"/>
        <v>◀</v>
      </c>
      <c r="O29" s="48" t="str">
        <f t="shared" si="11"/>
        <v/>
      </c>
      <c r="P29" s="48" t="str">
        <f t="shared" si="12"/>
        <v/>
      </c>
      <c r="Q29" s="48" t="str">
        <f t="shared" si="13"/>
        <v/>
      </c>
      <c r="R29" s="29">
        <f>EDATE($C$2,-2)</f>
        <v>46435</v>
      </c>
      <c r="S29" s="29">
        <f>EDATE($C$2,-1)</f>
        <v>46463</v>
      </c>
      <c r="T29" s="30">
        <v>2</v>
      </c>
    </row>
    <row r="30" spans="1:20" ht="21" customHeight="1">
      <c r="A30" s="49"/>
      <c r="B30" s="47" t="s">
        <v>60</v>
      </c>
      <c r="C30" s="36" t="s">
        <v>41</v>
      </c>
      <c r="D30" s="48" t="str">
        <f t="shared" si="0"/>
        <v/>
      </c>
      <c r="E30" s="48" t="str">
        <f t="shared" si="1"/>
        <v/>
      </c>
      <c r="F30" s="48" t="str">
        <f t="shared" si="2"/>
        <v/>
      </c>
      <c r="G30" s="48" t="str">
        <f t="shared" si="3"/>
        <v/>
      </c>
      <c r="H30" s="48" t="str">
        <f t="shared" si="4"/>
        <v/>
      </c>
      <c r="I30" s="48" t="str">
        <f t="shared" si="5"/>
        <v/>
      </c>
      <c r="J30" s="48" t="str">
        <f t="shared" si="6"/>
        <v/>
      </c>
      <c r="K30" s="48" t="str">
        <f t="shared" si="7"/>
        <v/>
      </c>
      <c r="L30" s="48" t="str">
        <f t="shared" si="8"/>
        <v/>
      </c>
      <c r="M30" s="48" t="str">
        <f t="shared" si="9"/>
        <v/>
      </c>
      <c r="N30" s="48" t="str">
        <f t="shared" si="10"/>
        <v>◀</v>
      </c>
      <c r="O30" s="48" t="str">
        <f t="shared" si="11"/>
        <v/>
      </c>
      <c r="P30" s="48" t="str">
        <f t="shared" si="12"/>
        <v/>
      </c>
      <c r="Q30" s="48" t="str">
        <f t="shared" si="13"/>
        <v/>
      </c>
      <c r="R30" s="29">
        <f>EDATE($C$2,-2)</f>
        <v>46435</v>
      </c>
      <c r="S30" s="29">
        <f>EDATE($C$2,-1)</f>
        <v>46463</v>
      </c>
      <c r="T30" s="30">
        <v>2</v>
      </c>
    </row>
    <row r="31" spans="1:20" ht="21" customHeight="1">
      <c r="A31" s="50" t="s">
        <v>61</v>
      </c>
      <c r="B31" s="51" t="s">
        <v>62</v>
      </c>
      <c r="C31" s="27" t="s">
        <v>29</v>
      </c>
      <c r="D31" s="52" t="str">
        <f t="shared" si="0"/>
        <v/>
      </c>
      <c r="E31" s="52" t="str">
        <f t="shared" si="1"/>
        <v/>
      </c>
      <c r="F31" s="52" t="str">
        <f t="shared" si="2"/>
        <v/>
      </c>
      <c r="G31" s="52" t="str">
        <f t="shared" si="3"/>
        <v/>
      </c>
      <c r="H31" s="52" t="str">
        <f t="shared" si="4"/>
        <v/>
      </c>
      <c r="I31" s="52" t="str">
        <f t="shared" si="5"/>
        <v/>
      </c>
      <c r="J31" s="52" t="str">
        <f t="shared" si="6"/>
        <v/>
      </c>
      <c r="K31" s="52" t="str">
        <f t="shared" si="7"/>
        <v/>
      </c>
      <c r="L31" s="52" t="str">
        <f t="shared" si="8"/>
        <v>─</v>
      </c>
      <c r="M31" s="52" t="str">
        <f t="shared" si="9"/>
        <v>◀</v>
      </c>
      <c r="N31" s="52" t="str">
        <f t="shared" si="10"/>
        <v/>
      </c>
      <c r="O31" s="52" t="str">
        <f t="shared" si="11"/>
        <v/>
      </c>
      <c r="P31" s="52" t="str">
        <f t="shared" si="12"/>
        <v/>
      </c>
      <c r="Q31" s="52" t="str">
        <f t="shared" si="13"/>
        <v/>
      </c>
      <c r="R31" s="29">
        <f>EDATE($C$2,-4)</f>
        <v>46373</v>
      </c>
      <c r="S31" s="29">
        <f>EDATE($C$2,-2)</f>
        <v>46435</v>
      </c>
      <c r="T31" s="30">
        <v>3</v>
      </c>
    </row>
    <row r="32" spans="1:20" ht="21" customHeight="1">
      <c r="A32" s="53"/>
      <c r="B32" s="51" t="s">
        <v>63</v>
      </c>
      <c r="C32" s="27" t="s">
        <v>29</v>
      </c>
      <c r="D32" s="52" t="str">
        <f t="shared" si="0"/>
        <v/>
      </c>
      <c r="E32" s="52" t="str">
        <f t="shared" si="1"/>
        <v/>
      </c>
      <c r="F32" s="52" t="str">
        <f t="shared" si="2"/>
        <v/>
      </c>
      <c r="G32" s="52" t="str">
        <f t="shared" si="3"/>
        <v/>
      </c>
      <c r="H32" s="52" t="str">
        <f t="shared" si="4"/>
        <v/>
      </c>
      <c r="I32" s="52" t="str">
        <f t="shared" si="5"/>
        <v/>
      </c>
      <c r="J32" s="52" t="str">
        <f t="shared" si="6"/>
        <v/>
      </c>
      <c r="K32" s="52" t="str">
        <f t="shared" si="7"/>
        <v/>
      </c>
      <c r="L32" s="52" t="str">
        <f t="shared" si="8"/>
        <v/>
      </c>
      <c r="M32" s="52" t="str">
        <f t="shared" si="9"/>
        <v>◀</v>
      </c>
      <c r="N32" s="52" t="str">
        <f t="shared" si="10"/>
        <v/>
      </c>
      <c r="O32" s="52" t="str">
        <f t="shared" si="11"/>
        <v/>
      </c>
      <c r="P32" s="52" t="str">
        <f t="shared" si="12"/>
        <v/>
      </c>
      <c r="Q32" s="52" t="str">
        <f t="shared" si="13"/>
        <v/>
      </c>
      <c r="R32" s="29">
        <f>EDATE($C$2,-3)</f>
        <v>46404</v>
      </c>
      <c r="S32" s="29">
        <f>EDATE($C$2,-2)</f>
        <v>46435</v>
      </c>
      <c r="T32" s="30">
        <v>3</v>
      </c>
    </row>
    <row r="33" spans="1:20" ht="21" customHeight="1">
      <c r="A33" s="53"/>
      <c r="B33" s="51" t="s">
        <v>64</v>
      </c>
      <c r="C33" s="27" t="s">
        <v>29</v>
      </c>
      <c r="D33" s="52" t="str">
        <f t="shared" si="0"/>
        <v/>
      </c>
      <c r="E33" s="52" t="str">
        <f t="shared" si="1"/>
        <v/>
      </c>
      <c r="F33" s="52" t="str">
        <f t="shared" si="2"/>
        <v/>
      </c>
      <c r="G33" s="52" t="str">
        <f t="shared" si="3"/>
        <v/>
      </c>
      <c r="H33" s="52" t="str">
        <f t="shared" si="4"/>
        <v/>
      </c>
      <c r="I33" s="52" t="str">
        <f t="shared" si="5"/>
        <v/>
      </c>
      <c r="J33" s="52" t="str">
        <f t="shared" si="6"/>
        <v/>
      </c>
      <c r="K33" s="52" t="str">
        <f t="shared" si="7"/>
        <v/>
      </c>
      <c r="L33" s="52" t="str">
        <f t="shared" si="8"/>
        <v/>
      </c>
      <c r="M33" s="52" t="str">
        <f t="shared" si="9"/>
        <v/>
      </c>
      <c r="N33" s="52" t="str">
        <f t="shared" si="10"/>
        <v>◀</v>
      </c>
      <c r="O33" s="52" t="str">
        <f t="shared" si="11"/>
        <v/>
      </c>
      <c r="P33" s="52" t="str">
        <f t="shared" si="12"/>
        <v/>
      </c>
      <c r="Q33" s="52" t="str">
        <f t="shared" si="13"/>
        <v/>
      </c>
      <c r="R33" s="29">
        <f>EDATE($C$2,-2)</f>
        <v>46435</v>
      </c>
      <c r="S33" s="29">
        <f>EDATE($C$2,-1)</f>
        <v>46463</v>
      </c>
      <c r="T33" s="30">
        <v>3</v>
      </c>
    </row>
    <row r="34" spans="1:20" ht="21" customHeight="1">
      <c r="A34" s="53"/>
      <c r="B34" s="51" t="s">
        <v>65</v>
      </c>
      <c r="C34" s="27" t="s">
        <v>29</v>
      </c>
      <c r="D34" s="52" t="str">
        <f t="shared" si="0"/>
        <v/>
      </c>
      <c r="E34" s="52" t="str">
        <f t="shared" si="1"/>
        <v/>
      </c>
      <c r="F34" s="52" t="str">
        <f t="shared" si="2"/>
        <v/>
      </c>
      <c r="G34" s="52" t="str">
        <f t="shared" si="3"/>
        <v/>
      </c>
      <c r="H34" s="52" t="str">
        <f t="shared" si="4"/>
        <v/>
      </c>
      <c r="I34" s="52" t="str">
        <f t="shared" si="5"/>
        <v/>
      </c>
      <c r="J34" s="52" t="str">
        <f t="shared" si="6"/>
        <v/>
      </c>
      <c r="K34" s="52" t="str">
        <f t="shared" si="7"/>
        <v/>
      </c>
      <c r="L34" s="52" t="str">
        <f t="shared" si="8"/>
        <v/>
      </c>
      <c r="M34" s="52" t="str">
        <f t="shared" si="9"/>
        <v/>
      </c>
      <c r="N34" s="52" t="str">
        <f t="shared" si="10"/>
        <v>◀</v>
      </c>
      <c r="O34" s="52" t="str">
        <f t="shared" si="11"/>
        <v/>
      </c>
      <c r="P34" s="52" t="str">
        <f t="shared" si="12"/>
        <v/>
      </c>
      <c r="Q34" s="52" t="str">
        <f t="shared" si="13"/>
        <v/>
      </c>
      <c r="R34" s="29">
        <f>EDATE($C$2,-2)</f>
        <v>46435</v>
      </c>
      <c r="S34" s="29">
        <f>EDATE($C$2,-1)</f>
        <v>46463</v>
      </c>
      <c r="T34" s="30">
        <v>3</v>
      </c>
    </row>
    <row r="35" spans="1:20" ht="21" customHeight="1">
      <c r="A35" s="54" t="s">
        <v>66</v>
      </c>
      <c r="B35" s="55" t="s">
        <v>67</v>
      </c>
      <c r="C35" s="27" t="s">
        <v>29</v>
      </c>
      <c r="D35" s="56" t="str">
        <f t="shared" si="0"/>
        <v/>
      </c>
      <c r="E35" s="56" t="str">
        <f t="shared" si="1"/>
        <v/>
      </c>
      <c r="F35" s="56" t="str">
        <f t="shared" si="2"/>
        <v/>
      </c>
      <c r="G35" s="56" t="str">
        <f t="shared" si="3"/>
        <v/>
      </c>
      <c r="H35" s="56" t="str">
        <f t="shared" si="4"/>
        <v/>
      </c>
      <c r="I35" s="56" t="str">
        <f t="shared" si="5"/>
        <v/>
      </c>
      <c r="J35" s="56" t="str">
        <f t="shared" si="6"/>
        <v/>
      </c>
      <c r="K35" s="56" t="str">
        <f t="shared" si="7"/>
        <v/>
      </c>
      <c r="L35" s="56" t="str">
        <f t="shared" si="8"/>
        <v/>
      </c>
      <c r="M35" s="56" t="str">
        <f t="shared" si="9"/>
        <v>─</v>
      </c>
      <c r="N35" s="56" t="str">
        <f t="shared" si="10"/>
        <v>◀</v>
      </c>
      <c r="O35" s="56" t="str">
        <f t="shared" si="11"/>
        <v/>
      </c>
      <c r="P35" s="56" t="str">
        <f t="shared" si="12"/>
        <v/>
      </c>
      <c r="Q35" s="56" t="str">
        <f t="shared" si="13"/>
        <v/>
      </c>
      <c r="R35" s="29">
        <f>EDATE($C$2,-3)</f>
        <v>46404</v>
      </c>
      <c r="S35" s="29">
        <f>EDATE($C$2,-1)</f>
        <v>46463</v>
      </c>
      <c r="T35" s="30">
        <v>3</v>
      </c>
    </row>
    <row r="36" spans="1:20" ht="21" customHeight="1">
      <c r="A36" s="57"/>
      <c r="B36" s="55" t="s">
        <v>68</v>
      </c>
      <c r="C36" s="27" t="s">
        <v>29</v>
      </c>
      <c r="D36" s="56" t="str">
        <f t="shared" si="0"/>
        <v/>
      </c>
      <c r="E36" s="56" t="str">
        <f t="shared" si="1"/>
        <v/>
      </c>
      <c r="F36" s="56" t="str">
        <f t="shared" si="2"/>
        <v/>
      </c>
      <c r="G36" s="56" t="str">
        <f t="shared" si="3"/>
        <v/>
      </c>
      <c r="H36" s="56" t="str">
        <f t="shared" si="4"/>
        <v/>
      </c>
      <c r="I36" s="56" t="str">
        <f t="shared" si="5"/>
        <v/>
      </c>
      <c r="J36" s="56" t="str">
        <f t="shared" si="6"/>
        <v/>
      </c>
      <c r="K36" s="56" t="str">
        <f t="shared" si="7"/>
        <v/>
      </c>
      <c r="L36" s="56" t="str">
        <f t="shared" si="8"/>
        <v/>
      </c>
      <c r="M36" s="56" t="str">
        <f t="shared" si="9"/>
        <v/>
      </c>
      <c r="N36" s="56" t="str">
        <f t="shared" si="10"/>
        <v/>
      </c>
      <c r="O36" s="56" t="str">
        <f t="shared" si="11"/>
        <v>◀</v>
      </c>
      <c r="P36" s="56" t="str">
        <f t="shared" si="12"/>
        <v/>
      </c>
      <c r="Q36" s="56" t="str">
        <f t="shared" si="13"/>
        <v/>
      </c>
      <c r="R36" s="29">
        <f t="shared" ref="R36:R41" si="14">EDATE($C$2,-1)</f>
        <v>46463</v>
      </c>
      <c r="S36" s="29">
        <f t="shared" ref="S36:S42" si="15">EDATE($C$2,0)</f>
        <v>46494</v>
      </c>
      <c r="T36" s="30">
        <v>3</v>
      </c>
    </row>
    <row r="37" spans="1:20" ht="21" customHeight="1">
      <c r="A37" s="57"/>
      <c r="B37" s="55" t="s">
        <v>69</v>
      </c>
      <c r="C37" s="27" t="s">
        <v>29</v>
      </c>
      <c r="D37" s="56" t="str">
        <f t="shared" si="0"/>
        <v/>
      </c>
      <c r="E37" s="56" t="str">
        <f t="shared" si="1"/>
        <v/>
      </c>
      <c r="F37" s="56" t="str">
        <f t="shared" si="2"/>
        <v/>
      </c>
      <c r="G37" s="56" t="str">
        <f t="shared" si="3"/>
        <v/>
      </c>
      <c r="H37" s="56" t="str">
        <f t="shared" si="4"/>
        <v/>
      </c>
      <c r="I37" s="56" t="str">
        <f t="shared" si="5"/>
        <v/>
      </c>
      <c r="J37" s="56" t="str">
        <f t="shared" si="6"/>
        <v/>
      </c>
      <c r="K37" s="56" t="str">
        <f t="shared" si="7"/>
        <v/>
      </c>
      <c r="L37" s="56" t="str">
        <f t="shared" si="8"/>
        <v/>
      </c>
      <c r="M37" s="56" t="str">
        <f t="shared" si="9"/>
        <v/>
      </c>
      <c r="N37" s="56" t="str">
        <f t="shared" si="10"/>
        <v/>
      </c>
      <c r="O37" s="56" t="str">
        <f t="shared" si="11"/>
        <v>◀</v>
      </c>
      <c r="P37" s="56" t="str">
        <f t="shared" si="12"/>
        <v/>
      </c>
      <c r="Q37" s="56" t="str">
        <f t="shared" si="13"/>
        <v/>
      </c>
      <c r="R37" s="29">
        <f t="shared" si="14"/>
        <v>46463</v>
      </c>
      <c r="S37" s="29">
        <f t="shared" si="15"/>
        <v>46494</v>
      </c>
      <c r="T37" s="30">
        <v>3</v>
      </c>
    </row>
    <row r="38" spans="1:20" ht="21" customHeight="1">
      <c r="A38" s="58" t="s">
        <v>70</v>
      </c>
      <c r="B38" s="59" t="s">
        <v>71</v>
      </c>
      <c r="C38" s="27" t="s">
        <v>29</v>
      </c>
      <c r="D38" s="60" t="str">
        <f t="shared" si="0"/>
        <v/>
      </c>
      <c r="E38" s="60" t="str">
        <f t="shared" si="1"/>
        <v/>
      </c>
      <c r="F38" s="60" t="str">
        <f t="shared" si="2"/>
        <v/>
      </c>
      <c r="G38" s="60" t="str">
        <f t="shared" si="3"/>
        <v/>
      </c>
      <c r="H38" s="60" t="str">
        <f t="shared" si="4"/>
        <v/>
      </c>
      <c r="I38" s="60" t="str">
        <f t="shared" si="5"/>
        <v/>
      </c>
      <c r="J38" s="60" t="str">
        <f t="shared" si="6"/>
        <v/>
      </c>
      <c r="K38" s="60" t="str">
        <f t="shared" si="7"/>
        <v/>
      </c>
      <c r="L38" s="60" t="str">
        <f t="shared" si="8"/>
        <v/>
      </c>
      <c r="M38" s="60" t="str">
        <f t="shared" si="9"/>
        <v/>
      </c>
      <c r="N38" s="60" t="str">
        <f t="shared" si="10"/>
        <v/>
      </c>
      <c r="O38" s="60" t="str">
        <f t="shared" si="11"/>
        <v>◀</v>
      </c>
      <c r="P38" s="60" t="str">
        <f t="shared" si="12"/>
        <v/>
      </c>
      <c r="Q38" s="60" t="str">
        <f t="shared" si="13"/>
        <v/>
      </c>
      <c r="R38" s="29">
        <f t="shared" si="14"/>
        <v>46463</v>
      </c>
      <c r="S38" s="29">
        <f t="shared" si="15"/>
        <v>46494</v>
      </c>
      <c r="T38" s="30">
        <v>3</v>
      </c>
    </row>
    <row r="39" spans="1:20" ht="21" customHeight="1">
      <c r="A39" s="61"/>
      <c r="B39" s="59" t="s">
        <v>72</v>
      </c>
      <c r="C39" s="27" t="s">
        <v>29</v>
      </c>
      <c r="D39" s="60" t="str">
        <f t="shared" si="0"/>
        <v/>
      </c>
      <c r="E39" s="60" t="str">
        <f t="shared" si="1"/>
        <v/>
      </c>
      <c r="F39" s="60" t="str">
        <f t="shared" si="2"/>
        <v/>
      </c>
      <c r="G39" s="60" t="str">
        <f t="shared" si="3"/>
        <v/>
      </c>
      <c r="H39" s="60" t="str">
        <f t="shared" si="4"/>
        <v/>
      </c>
      <c r="I39" s="60" t="str">
        <f t="shared" si="5"/>
        <v/>
      </c>
      <c r="J39" s="60" t="str">
        <f t="shared" si="6"/>
        <v/>
      </c>
      <c r="K39" s="60" t="str">
        <f t="shared" si="7"/>
        <v/>
      </c>
      <c r="L39" s="60" t="str">
        <f t="shared" si="8"/>
        <v/>
      </c>
      <c r="M39" s="60" t="str">
        <f t="shared" si="9"/>
        <v/>
      </c>
      <c r="N39" s="60" t="str">
        <f t="shared" si="10"/>
        <v/>
      </c>
      <c r="O39" s="60" t="str">
        <f t="shared" si="11"/>
        <v>◀</v>
      </c>
      <c r="P39" s="60" t="str">
        <f t="shared" si="12"/>
        <v/>
      </c>
      <c r="Q39" s="60" t="str">
        <f t="shared" si="13"/>
        <v/>
      </c>
      <c r="R39" s="29">
        <f t="shared" si="14"/>
        <v>46463</v>
      </c>
      <c r="S39" s="29">
        <f t="shared" si="15"/>
        <v>46494</v>
      </c>
      <c r="T39" s="30">
        <v>3</v>
      </c>
    </row>
    <row r="40" spans="1:20" ht="21" customHeight="1">
      <c r="A40" s="61"/>
      <c r="B40" s="59" t="s">
        <v>73</v>
      </c>
      <c r="C40" s="27" t="s">
        <v>29</v>
      </c>
      <c r="D40" s="60" t="str">
        <f t="shared" si="0"/>
        <v/>
      </c>
      <c r="E40" s="60" t="str">
        <f t="shared" si="1"/>
        <v/>
      </c>
      <c r="F40" s="60" t="str">
        <f t="shared" si="2"/>
        <v/>
      </c>
      <c r="G40" s="60" t="str">
        <f t="shared" si="3"/>
        <v/>
      </c>
      <c r="H40" s="60" t="str">
        <f t="shared" si="4"/>
        <v/>
      </c>
      <c r="I40" s="60" t="str">
        <f t="shared" si="5"/>
        <v/>
      </c>
      <c r="J40" s="60" t="str">
        <f t="shared" si="6"/>
        <v/>
      </c>
      <c r="K40" s="60" t="str">
        <f t="shared" si="7"/>
        <v/>
      </c>
      <c r="L40" s="60" t="str">
        <f t="shared" si="8"/>
        <v/>
      </c>
      <c r="M40" s="60" t="str">
        <f t="shared" si="9"/>
        <v/>
      </c>
      <c r="N40" s="60" t="str">
        <f t="shared" si="10"/>
        <v/>
      </c>
      <c r="O40" s="60" t="str">
        <f t="shared" si="11"/>
        <v>◀</v>
      </c>
      <c r="P40" s="60" t="str">
        <f t="shared" si="12"/>
        <v/>
      </c>
      <c r="Q40" s="60" t="str">
        <f t="shared" si="13"/>
        <v/>
      </c>
      <c r="R40" s="29">
        <f t="shared" si="14"/>
        <v>46463</v>
      </c>
      <c r="S40" s="29">
        <f t="shared" si="15"/>
        <v>46494</v>
      </c>
      <c r="T40" s="30">
        <v>3</v>
      </c>
    </row>
    <row r="41" spans="1:20" ht="21" customHeight="1">
      <c r="A41" s="61"/>
      <c r="B41" s="59" t="s">
        <v>74</v>
      </c>
      <c r="C41" s="27" t="s">
        <v>29</v>
      </c>
      <c r="D41" s="60" t="str">
        <f t="shared" si="0"/>
        <v/>
      </c>
      <c r="E41" s="60" t="str">
        <f t="shared" si="1"/>
        <v/>
      </c>
      <c r="F41" s="60" t="str">
        <f t="shared" si="2"/>
        <v/>
      </c>
      <c r="G41" s="60" t="str">
        <f t="shared" si="3"/>
        <v/>
      </c>
      <c r="H41" s="60" t="str">
        <f t="shared" si="4"/>
        <v/>
      </c>
      <c r="I41" s="60" t="str">
        <f t="shared" si="5"/>
        <v/>
      </c>
      <c r="J41" s="60" t="str">
        <f t="shared" si="6"/>
        <v/>
      </c>
      <c r="K41" s="60" t="str">
        <f t="shared" si="7"/>
        <v/>
      </c>
      <c r="L41" s="60" t="str">
        <f t="shared" si="8"/>
        <v/>
      </c>
      <c r="M41" s="60" t="str">
        <f t="shared" si="9"/>
        <v/>
      </c>
      <c r="N41" s="60" t="str">
        <f t="shared" si="10"/>
        <v/>
      </c>
      <c r="O41" s="60" t="str">
        <f t="shared" si="11"/>
        <v>◀</v>
      </c>
      <c r="P41" s="60" t="str">
        <f t="shared" si="12"/>
        <v/>
      </c>
      <c r="Q41" s="60" t="str">
        <f t="shared" si="13"/>
        <v/>
      </c>
      <c r="R41" s="29">
        <f t="shared" si="14"/>
        <v>46463</v>
      </c>
      <c r="S41" s="29">
        <f t="shared" si="15"/>
        <v>46494</v>
      </c>
      <c r="T41" s="30">
        <v>3</v>
      </c>
    </row>
    <row r="42" spans="1:20" ht="21" customHeight="1">
      <c r="A42" s="62" t="s">
        <v>75</v>
      </c>
      <c r="B42" s="63" t="s">
        <v>76</v>
      </c>
      <c r="C42" s="27" t="s">
        <v>29</v>
      </c>
      <c r="D42" s="64" t="str">
        <f>IF(AND(R42&lt;=DATE(2026,5,1),S42&gt;=DATE(2026,5,1)),IF(AND(MONTH(R42)=5,YEAR(R42)=2026),IF(AND(MONTH(S42)=5,YEAR(S42)=2026),"★","▶"),IF(AND(MONTH(S42)=5,YEAR(S42)=2026),"◀","─")),"")</f>
        <v/>
      </c>
      <c r="E42" s="64" t="str">
        <f>IF(AND(R42&lt;=DATE(2026,6,1),S42&gt;=DATE(2026,6,1)),IF(AND(MONTH(R42)=6,YEAR(R42)=2026),IF(AND(MONTH(S42)=6,YEAR(S42)=2026),"★","▶"),IF(AND(MONTH(S42)=6,YEAR(S42)=2026),"◀","─")),"")</f>
        <v/>
      </c>
      <c r="F42" s="64" t="str">
        <f>IF(AND(R42&lt;=DATE(2026,7,1),S42&gt;=DATE(2026,7,1)),IF(AND(MONTH(R42)=7,YEAR(R42)=2026),IF(AND(MONTH(S42)=7,YEAR(S42)=2026),"★","▶"),IF(AND(MONTH(S42)=7,YEAR(S42)=2026),"◀","─")),"")</f>
        <v/>
      </c>
      <c r="G42" s="64" t="str">
        <f>IF(AND(R42&lt;=DATE(2026,8,1),S42&gt;=DATE(2026,8,1)),IF(AND(MONTH(R42)=8,YEAR(R42)=2026),IF(AND(MONTH(S42)=8,YEAR(S42)=2026),"★","▶"),IF(AND(MONTH(S42)=8,YEAR(S42)=2026),"◀","─")),"")</f>
        <v/>
      </c>
      <c r="H42" s="64" t="str">
        <f>IF(AND(R42&lt;=DATE(2026,9,1),S42&gt;=DATE(2026,9,1)),IF(AND(MONTH(R42)=9,YEAR(R42)=2026),IF(AND(MONTH(S42)=9,YEAR(S42)=2026),"★","▶"),IF(AND(MONTH(S42)=9,YEAR(S42)=2026),"◀","─")),"")</f>
        <v/>
      </c>
      <c r="I42" s="64" t="str">
        <f>IF(AND(R42&lt;=DATE(2026,10,1),S42&gt;=DATE(2026,10,1)),IF(AND(MONTH(R42)=10,YEAR(R42)=2026),IF(AND(MONTH(S42)=10,YEAR(S42)=2026),"★","▶"),IF(AND(MONTH(S42)=10,YEAR(S42)=2026),"◀","─")),"")</f>
        <v/>
      </c>
      <c r="J42" s="64" t="str">
        <f>IF(AND(R42&lt;=DATE(2026,11,1),S42&gt;=DATE(2026,11,1)),IF(AND(MONTH(R42)=11,YEAR(R42)=2026),IF(AND(MONTH(S42)=11,YEAR(S42)=2026),"★","▶"),IF(AND(MONTH(S42)=11,YEAR(S42)=2026),"◀","─")),"")</f>
        <v/>
      </c>
      <c r="K42" s="64" t="str">
        <f>IF(AND(R42&lt;=DATE(2026,12,1),S42&gt;=DATE(2026,12,1)),IF(AND(MONTH(R42)=12,YEAR(R42)=2026),IF(AND(MONTH(S42)=12,YEAR(S42)=2026),"★","▶"),IF(AND(MONTH(S42)=12,YEAR(S42)=2026),"◀","─")),"")</f>
        <v/>
      </c>
      <c r="L42" s="64" t="str">
        <f>IF(AND(R42&lt;=DATE(2027,1,1),S42&gt;=DATE(2027,1,1)),IF(AND(MONTH(R42)=1,YEAR(R42)=2027),IF(AND(MONTH(S42)=1,YEAR(S42)=2027),"★","▶"),IF(AND(MONTH(S42)=1,YEAR(S42)=2027),"◀","─")),"")</f>
        <v/>
      </c>
      <c r="M42" s="64" t="str">
        <f>IF(AND(R42&lt;=DATE(2027,2,1),S42&gt;=DATE(2027,2,1)),IF(AND(MONTH(R42)=2,YEAR(R42)=2027),IF(AND(MONTH(S42)=2,YEAR(S42)=2027),"★","▶"),IF(AND(MONTH(S42)=2,YEAR(S42)=2027),"◀","─")),"")</f>
        <v/>
      </c>
      <c r="N42" s="64" t="str">
        <f>IF(AND(R42&lt;=DATE(2027,3,1),S42&gt;=DATE(2027,3,1)),IF(AND(MONTH(R42)=3,YEAR(R42)=2027),IF(AND(MONTH(S42)=3,YEAR(S42)=2027),"★","▶"),IF(AND(MONTH(S42)=3,YEAR(S42)=2027),"◀","─")),"")</f>
        <v/>
      </c>
      <c r="O42" s="64" t="str">
        <f>IF(AND(R42&lt;=DATE(2027,4,1),S42&gt;=DATE(2027,4,1)),IF(AND(MONTH(R42)=4,YEAR(R42)=2027),IF(AND(MONTH(S42)=4,YEAR(S42)=2027),"★","▶"),IF(AND(MONTH(S42)=4,YEAR(S42)=2027),"◀","─")),"")</f>
        <v/>
      </c>
      <c r="P42" s="64" t="str">
        <f>IF(AND(R42&lt;=DATE(2027,5,1),S42&gt;=DATE(2027,5,1)),IF(AND(MONTH(R42)=5,YEAR(R42)=2027),IF(AND(MONTH(S42)=5,YEAR(S42)=2027),"★","▶"),IF(AND(MONTH(S42)=5,YEAR(S42)=2027),"◀","─")),"")</f>
        <v/>
      </c>
      <c r="Q42" s="64" t="str">
        <f>IF(AND(R42&lt;=DATE(2027,6,1),S42&gt;=DATE(2027,6,1)),IF(AND(MONTH(R42)=6,YEAR(R42)=2027),IF(AND(MONTH(S42)=6,YEAR(S42)=2027),"★","▶"),IF(AND(MONTH(S42)=6,YEAR(S42)=2027),"◀","─")),"")</f>
        <v/>
      </c>
      <c r="R42" s="29">
        <f>EDATE($C$2,0)</f>
        <v>46494</v>
      </c>
      <c r="S42" s="29">
        <f t="shared" si="15"/>
        <v>46494</v>
      </c>
      <c r="T42" s="30">
        <v>5</v>
      </c>
    </row>
    <row r="43" spans="1:20" ht="21" customHeight="1">
      <c r="A43" s="65" t="s">
        <v>77</v>
      </c>
      <c r="B43" s="66" t="s">
        <v>78</v>
      </c>
      <c r="C43" s="27" t="s">
        <v>29</v>
      </c>
      <c r="D43" s="67" t="str">
        <f>IF(AND(R43&lt;=DATE(2026,5,1),S43&gt;=DATE(2026,5,1)),IF(AND(MONTH(R43)=5,YEAR(R43)=2026),IF(AND(MONTH(S43)=5,YEAR(S43)=2026),"●","▶"),IF(AND(MONTH(S43)=5,YEAR(S43)=2026),"◀","─")),"")</f>
        <v/>
      </c>
      <c r="E43" s="67" t="str">
        <f>IF(AND(R43&lt;=DATE(2026,6,1),S43&gt;=DATE(2026,6,1)),IF(AND(MONTH(R43)=6,YEAR(R43)=2026),IF(AND(MONTH(S43)=6,YEAR(S43)=2026),"●","▶"),IF(AND(MONTH(S43)=6,YEAR(S43)=2026),"◀","─")),"")</f>
        <v/>
      </c>
      <c r="F43" s="67" t="str">
        <f>IF(AND(R43&lt;=DATE(2026,7,1),S43&gt;=DATE(2026,7,1)),IF(AND(MONTH(R43)=7,YEAR(R43)=2026),IF(AND(MONTH(S43)=7,YEAR(S43)=2026),"●","▶"),IF(AND(MONTH(S43)=7,YEAR(S43)=2026),"◀","─")),"")</f>
        <v/>
      </c>
      <c r="G43" s="67" t="str">
        <f>IF(AND(R43&lt;=DATE(2026,8,1),S43&gt;=DATE(2026,8,1)),IF(AND(MONTH(R43)=8,YEAR(R43)=2026),IF(AND(MONTH(S43)=8,YEAR(S43)=2026),"●","▶"),IF(AND(MONTH(S43)=8,YEAR(S43)=2026),"◀","─")),"")</f>
        <v/>
      </c>
      <c r="H43" s="67" t="str">
        <f>IF(AND(R43&lt;=DATE(2026,9,1),S43&gt;=DATE(2026,9,1)),IF(AND(MONTH(R43)=9,YEAR(R43)=2026),IF(AND(MONTH(S43)=9,YEAR(S43)=2026),"●","▶"),IF(AND(MONTH(S43)=9,YEAR(S43)=2026),"◀","─")),"")</f>
        <v/>
      </c>
      <c r="I43" s="67" t="str">
        <f>IF(AND(R43&lt;=DATE(2026,10,1),S43&gt;=DATE(2026,10,1)),IF(AND(MONTH(R43)=10,YEAR(R43)=2026),IF(AND(MONTH(S43)=10,YEAR(S43)=2026),"●","▶"),IF(AND(MONTH(S43)=10,YEAR(S43)=2026),"◀","─")),"")</f>
        <v/>
      </c>
      <c r="J43" s="67" t="str">
        <f>IF(AND(R43&lt;=DATE(2026,11,1),S43&gt;=DATE(2026,11,1)),IF(AND(MONTH(R43)=11,YEAR(R43)=2026),IF(AND(MONTH(S43)=11,YEAR(S43)=2026),"●","▶"),IF(AND(MONTH(S43)=11,YEAR(S43)=2026),"◀","─")),"")</f>
        <v/>
      </c>
      <c r="K43" s="67" t="str">
        <f>IF(AND(R43&lt;=DATE(2026,12,1),S43&gt;=DATE(2026,12,1)),IF(AND(MONTH(R43)=12,YEAR(R43)=2026),IF(AND(MONTH(S43)=12,YEAR(S43)=2026),"●","▶"),IF(AND(MONTH(S43)=12,YEAR(S43)=2026),"◀","─")),"")</f>
        <v/>
      </c>
      <c r="L43" s="67" t="str">
        <f>IF(AND(R43&lt;=DATE(2027,1,1),S43&gt;=DATE(2027,1,1)),IF(AND(MONTH(R43)=1,YEAR(R43)=2027),IF(AND(MONTH(S43)=1,YEAR(S43)=2027),"●","▶"),IF(AND(MONTH(S43)=1,YEAR(S43)=2027),"◀","─")),"")</f>
        <v/>
      </c>
      <c r="M43" s="67" t="str">
        <f>IF(AND(R43&lt;=DATE(2027,2,1),S43&gt;=DATE(2027,2,1)),IF(AND(MONTH(R43)=2,YEAR(R43)=2027),IF(AND(MONTH(S43)=2,YEAR(S43)=2027),"●","▶"),IF(AND(MONTH(S43)=2,YEAR(S43)=2027),"◀","─")),"")</f>
        <v/>
      </c>
      <c r="N43" s="67" t="str">
        <f>IF(AND(R43&lt;=DATE(2027,3,1),S43&gt;=DATE(2027,3,1)),IF(AND(MONTH(R43)=3,YEAR(R43)=2027),IF(AND(MONTH(S43)=3,YEAR(S43)=2027),"●","▶"),IF(AND(MONTH(S43)=3,YEAR(S43)=2027),"◀","─")),"")</f>
        <v/>
      </c>
      <c r="O43" s="67" t="str">
        <f>IF(AND(R43&lt;=DATE(2027,4,1),S43&gt;=DATE(2027,4,1)),IF(AND(MONTH(R43)=4,YEAR(R43)=2027),IF(AND(MONTH(S43)=4,YEAR(S43)=2027),"●","▶"),IF(AND(MONTH(S43)=4,YEAR(S43)=2027),"◀","─")),"")</f>
        <v/>
      </c>
      <c r="P43" s="67" t="str">
        <f>IF(AND(R43&lt;=DATE(2027,5,1),S43&gt;=DATE(2027,5,1)),IF(AND(MONTH(R43)=5,YEAR(R43)=2027),IF(AND(MONTH(S43)=5,YEAR(S43)=2027),"●","▶"),IF(AND(MONTH(S43)=5,YEAR(S43)=2027),"◀","─")),"")</f>
        <v/>
      </c>
      <c r="Q43" s="67" t="str">
        <f>IF(AND(R43&lt;=DATE(2027,6,1),S43&gt;=DATE(2027,6,1)),IF(AND(MONTH(R43)=6,YEAR(R43)=2027),IF(AND(MONTH(S43)=6,YEAR(S43)=2027),"●","▶"),IF(AND(MONTH(S43)=6,YEAR(S43)=2027),"◀","─")),"")</f>
        <v>◀</v>
      </c>
      <c r="R43" s="29">
        <f>EDATE($C$2,1)</f>
        <v>46524</v>
      </c>
      <c r="S43" s="29">
        <f>EDATE($C$2,2)</f>
        <v>46555</v>
      </c>
      <c r="T43" s="30">
        <v>3</v>
      </c>
    </row>
    <row r="44" spans="1:20" ht="21" customHeight="1">
      <c r="A44" s="68"/>
      <c r="B44" s="66" t="s">
        <v>79</v>
      </c>
      <c r="C44" s="27" t="s">
        <v>29</v>
      </c>
      <c r="D44" s="67" t="str">
        <f>IF(AND(R44&lt;=DATE(2026,5,1),S44&gt;=DATE(2026,5,1)),IF(AND(MONTH(R44)=5,YEAR(R44)=2026),IF(AND(MONTH(S44)=5,YEAR(S44)=2026),"●","▶"),IF(AND(MONTH(S44)=5,YEAR(S44)=2026),"◀","─")),"")</f>
        <v/>
      </c>
      <c r="E44" s="67" t="str">
        <f>IF(AND(R44&lt;=DATE(2026,6,1),S44&gt;=DATE(2026,6,1)),IF(AND(MONTH(R44)=6,YEAR(R44)=2026),IF(AND(MONTH(S44)=6,YEAR(S44)=2026),"●","▶"),IF(AND(MONTH(S44)=6,YEAR(S44)=2026),"◀","─")),"")</f>
        <v/>
      </c>
      <c r="F44" s="67" t="str">
        <f>IF(AND(R44&lt;=DATE(2026,7,1),S44&gt;=DATE(2026,7,1)),IF(AND(MONTH(R44)=7,YEAR(R44)=2026),IF(AND(MONTH(S44)=7,YEAR(S44)=2026),"●","▶"),IF(AND(MONTH(S44)=7,YEAR(S44)=2026),"◀","─")),"")</f>
        <v/>
      </c>
      <c r="G44" s="67" t="str">
        <f>IF(AND(R44&lt;=DATE(2026,8,1),S44&gt;=DATE(2026,8,1)),IF(AND(MONTH(R44)=8,YEAR(R44)=2026),IF(AND(MONTH(S44)=8,YEAR(S44)=2026),"●","▶"),IF(AND(MONTH(S44)=8,YEAR(S44)=2026),"◀","─")),"")</f>
        <v/>
      </c>
      <c r="H44" s="67" t="str">
        <f>IF(AND(R44&lt;=DATE(2026,9,1),S44&gt;=DATE(2026,9,1)),IF(AND(MONTH(R44)=9,YEAR(R44)=2026),IF(AND(MONTH(S44)=9,YEAR(S44)=2026),"●","▶"),IF(AND(MONTH(S44)=9,YEAR(S44)=2026),"◀","─")),"")</f>
        <v/>
      </c>
      <c r="I44" s="67" t="str">
        <f>IF(AND(R44&lt;=DATE(2026,10,1),S44&gt;=DATE(2026,10,1)),IF(AND(MONTH(R44)=10,YEAR(R44)=2026),IF(AND(MONTH(S44)=10,YEAR(S44)=2026),"●","▶"),IF(AND(MONTH(S44)=10,YEAR(S44)=2026),"◀","─")),"")</f>
        <v/>
      </c>
      <c r="J44" s="67" t="str">
        <f>IF(AND(R44&lt;=DATE(2026,11,1),S44&gt;=DATE(2026,11,1)),IF(AND(MONTH(R44)=11,YEAR(R44)=2026),IF(AND(MONTH(S44)=11,YEAR(S44)=2026),"●","▶"),IF(AND(MONTH(S44)=11,YEAR(S44)=2026),"◀","─")),"")</f>
        <v/>
      </c>
      <c r="K44" s="67" t="str">
        <f>IF(AND(R44&lt;=DATE(2026,12,1),S44&gt;=DATE(2026,12,1)),IF(AND(MONTH(R44)=12,YEAR(R44)=2026),IF(AND(MONTH(S44)=12,YEAR(S44)=2026),"●","▶"),IF(AND(MONTH(S44)=12,YEAR(S44)=2026),"◀","─")),"")</f>
        <v/>
      </c>
      <c r="L44" s="67" t="str">
        <f>IF(AND(R44&lt;=DATE(2027,1,1),S44&gt;=DATE(2027,1,1)),IF(AND(MONTH(R44)=1,YEAR(R44)=2027),IF(AND(MONTH(S44)=1,YEAR(S44)=2027),"●","▶"),IF(AND(MONTH(S44)=1,YEAR(S44)=2027),"◀","─")),"")</f>
        <v/>
      </c>
      <c r="M44" s="67" t="str">
        <f>IF(AND(R44&lt;=DATE(2027,2,1),S44&gt;=DATE(2027,2,1)),IF(AND(MONTH(R44)=2,YEAR(R44)=2027),IF(AND(MONTH(S44)=2,YEAR(S44)=2027),"●","▶"),IF(AND(MONTH(S44)=2,YEAR(S44)=2027),"◀","─")),"")</f>
        <v/>
      </c>
      <c r="N44" s="67" t="str">
        <f>IF(AND(R44&lt;=DATE(2027,3,1),S44&gt;=DATE(2027,3,1)),IF(AND(MONTH(R44)=3,YEAR(R44)=2027),IF(AND(MONTH(S44)=3,YEAR(S44)=2027),"●","▶"),IF(AND(MONTH(S44)=3,YEAR(S44)=2027),"◀","─")),"")</f>
        <v/>
      </c>
      <c r="O44" s="67" t="str">
        <f>IF(AND(R44&lt;=DATE(2027,4,1),S44&gt;=DATE(2027,4,1)),IF(AND(MONTH(R44)=4,YEAR(R44)=2027),IF(AND(MONTH(S44)=4,YEAR(S44)=2027),"●","▶"),IF(AND(MONTH(S44)=4,YEAR(S44)=2027),"◀","─")),"")</f>
        <v/>
      </c>
      <c r="P44" s="67" t="str">
        <f>IF(AND(R44&lt;=DATE(2027,5,1),S44&gt;=DATE(2027,5,1)),IF(AND(MONTH(R44)=5,YEAR(R44)=2027),IF(AND(MONTH(S44)=5,YEAR(S44)=2027),"●","▶"),IF(AND(MONTH(S44)=5,YEAR(S44)=2027),"◀","─")),"")</f>
        <v/>
      </c>
      <c r="Q44" s="67" t="str">
        <f>IF(AND(R44&lt;=DATE(2027,6,1),S44&gt;=DATE(2027,6,1)),IF(AND(MONTH(R44)=6,YEAR(R44)=2027),IF(AND(MONTH(S44)=6,YEAR(S44)=2027),"●","▶"),IF(AND(MONTH(S44)=6,YEAR(S44)=2027),"◀","─")),"")</f>
        <v/>
      </c>
      <c r="R44" s="29">
        <f>EDATE($C$2,1)</f>
        <v>46524</v>
      </c>
      <c r="S44" s="29">
        <f>EDATE($C$2,1)</f>
        <v>46524</v>
      </c>
      <c r="T44" s="30">
        <v>3</v>
      </c>
    </row>
    <row r="45" spans="1:20" ht="21" customHeight="1">
      <c r="A45" s="68"/>
      <c r="B45" s="66" t="s">
        <v>80</v>
      </c>
      <c r="C45" s="36" t="s">
        <v>41</v>
      </c>
      <c r="D45" s="67" t="str">
        <f>IF(AND(R45&lt;=DATE(2026,5,1),S45&gt;=DATE(2026,5,1)),IF(AND(MONTH(R45)=5,YEAR(R45)=2026),IF(AND(MONTH(S45)=5,YEAR(S45)=2026),"●","▶"),IF(AND(MONTH(S45)=5,YEAR(S45)=2026),"◀","─")),"")</f>
        <v/>
      </c>
      <c r="E45" s="67" t="str">
        <f>IF(AND(R45&lt;=DATE(2026,6,1),S45&gt;=DATE(2026,6,1)),IF(AND(MONTH(R45)=6,YEAR(R45)=2026),IF(AND(MONTH(S45)=6,YEAR(S45)=2026),"●","▶"),IF(AND(MONTH(S45)=6,YEAR(S45)=2026),"◀","─")),"")</f>
        <v/>
      </c>
      <c r="F45" s="67" t="str">
        <f>IF(AND(R45&lt;=DATE(2026,7,1),S45&gt;=DATE(2026,7,1)),IF(AND(MONTH(R45)=7,YEAR(R45)=2026),IF(AND(MONTH(S45)=7,YEAR(S45)=2026),"●","▶"),IF(AND(MONTH(S45)=7,YEAR(S45)=2026),"◀","─")),"")</f>
        <v/>
      </c>
      <c r="G45" s="67" t="str">
        <f>IF(AND(R45&lt;=DATE(2026,8,1),S45&gt;=DATE(2026,8,1)),IF(AND(MONTH(R45)=8,YEAR(R45)=2026),IF(AND(MONTH(S45)=8,YEAR(S45)=2026),"●","▶"),IF(AND(MONTH(S45)=8,YEAR(S45)=2026),"◀","─")),"")</f>
        <v/>
      </c>
      <c r="H45" s="67" t="str">
        <f>IF(AND(R45&lt;=DATE(2026,9,1),S45&gt;=DATE(2026,9,1)),IF(AND(MONTH(R45)=9,YEAR(R45)=2026),IF(AND(MONTH(S45)=9,YEAR(S45)=2026),"●","▶"),IF(AND(MONTH(S45)=9,YEAR(S45)=2026),"◀","─")),"")</f>
        <v/>
      </c>
      <c r="I45" s="67" t="str">
        <f>IF(AND(R45&lt;=DATE(2026,10,1),S45&gt;=DATE(2026,10,1)),IF(AND(MONTH(R45)=10,YEAR(R45)=2026),IF(AND(MONTH(S45)=10,YEAR(S45)=2026),"●","▶"),IF(AND(MONTH(S45)=10,YEAR(S45)=2026),"◀","─")),"")</f>
        <v/>
      </c>
      <c r="J45" s="67" t="str">
        <f>IF(AND(R45&lt;=DATE(2026,11,1),S45&gt;=DATE(2026,11,1)),IF(AND(MONTH(R45)=11,YEAR(R45)=2026),IF(AND(MONTH(S45)=11,YEAR(S45)=2026),"●","▶"),IF(AND(MONTH(S45)=11,YEAR(S45)=2026),"◀","─")),"")</f>
        <v/>
      </c>
      <c r="K45" s="67" t="str">
        <f>IF(AND(R45&lt;=DATE(2026,12,1),S45&gt;=DATE(2026,12,1)),IF(AND(MONTH(R45)=12,YEAR(R45)=2026),IF(AND(MONTH(S45)=12,YEAR(S45)=2026),"●","▶"),IF(AND(MONTH(S45)=12,YEAR(S45)=2026),"◀","─")),"")</f>
        <v/>
      </c>
      <c r="L45" s="67" t="str">
        <f>IF(AND(R45&lt;=DATE(2027,1,1),S45&gt;=DATE(2027,1,1)),IF(AND(MONTH(R45)=1,YEAR(R45)=2027),IF(AND(MONTH(S45)=1,YEAR(S45)=2027),"●","▶"),IF(AND(MONTH(S45)=1,YEAR(S45)=2027),"◀","─")),"")</f>
        <v/>
      </c>
      <c r="M45" s="67" t="str">
        <f>IF(AND(R45&lt;=DATE(2027,2,1),S45&gt;=DATE(2027,2,1)),IF(AND(MONTH(R45)=2,YEAR(R45)=2027),IF(AND(MONTH(S45)=2,YEAR(S45)=2027),"●","▶"),IF(AND(MONTH(S45)=2,YEAR(S45)=2027),"◀","─")),"")</f>
        <v/>
      </c>
      <c r="N45" s="67" t="str">
        <f>IF(AND(R45&lt;=DATE(2027,3,1),S45&gt;=DATE(2027,3,1)),IF(AND(MONTH(R45)=3,YEAR(R45)=2027),IF(AND(MONTH(S45)=3,YEAR(S45)=2027),"●","▶"),IF(AND(MONTH(S45)=3,YEAR(S45)=2027),"◀","─")),"")</f>
        <v/>
      </c>
      <c r="O45" s="67" t="str">
        <f>IF(AND(R45&lt;=DATE(2027,4,1),S45&gt;=DATE(2027,4,1)),IF(AND(MONTH(R45)=4,YEAR(R45)=2027),IF(AND(MONTH(S45)=4,YEAR(S45)=2027),"●","▶"),IF(AND(MONTH(S45)=4,YEAR(S45)=2027),"◀","─")),"")</f>
        <v/>
      </c>
      <c r="P45" s="67" t="str">
        <f>IF(AND(R45&lt;=DATE(2027,5,1),S45&gt;=DATE(2027,5,1)),IF(AND(MONTH(R45)=5,YEAR(R45)=2027),IF(AND(MONTH(S45)=5,YEAR(S45)=2027),"●","▶"),IF(AND(MONTH(S45)=5,YEAR(S45)=2027),"◀","─")),"")</f>
        <v/>
      </c>
      <c r="Q45" s="67" t="str">
        <f>IF(AND(R45&lt;=DATE(2027,6,1),S45&gt;=DATE(2027,6,1)),IF(AND(MONTH(R45)=6,YEAR(R45)=2027),IF(AND(MONTH(S45)=6,YEAR(S45)=2027),"●","▶"),IF(AND(MONTH(S45)=6,YEAR(S45)=2027),"◀","─")),"")</f>
        <v>◀</v>
      </c>
      <c r="R45" s="29">
        <f>EDATE($C$2,1)</f>
        <v>46524</v>
      </c>
      <c r="S45" s="29">
        <f>EDATE($C$2,2)</f>
        <v>46555</v>
      </c>
      <c r="T45" s="30">
        <v>2</v>
      </c>
    </row>
    <row r="46" spans="1:20" ht="21" customHeight="1">
      <c r="A46" s="68"/>
      <c r="B46" s="66" t="s">
        <v>81</v>
      </c>
      <c r="C46" s="27" t="s">
        <v>29</v>
      </c>
      <c r="D46" s="67" t="str">
        <f>IF(AND(R46&lt;=DATE(2026,5,1),S46&gt;=DATE(2026,5,1)),IF(AND(MONTH(R46)=5,YEAR(R46)=2026),IF(AND(MONTH(S46)=5,YEAR(S46)=2026),"●","▶"),IF(AND(MONTH(S46)=5,YEAR(S46)=2026),"◀","─")),"")</f>
        <v/>
      </c>
      <c r="E46" s="67" t="str">
        <f>IF(AND(R46&lt;=DATE(2026,6,1),S46&gt;=DATE(2026,6,1)),IF(AND(MONTH(R46)=6,YEAR(R46)=2026),IF(AND(MONTH(S46)=6,YEAR(S46)=2026),"●","▶"),IF(AND(MONTH(S46)=6,YEAR(S46)=2026),"◀","─")),"")</f>
        <v/>
      </c>
      <c r="F46" s="67" t="str">
        <f>IF(AND(R46&lt;=DATE(2026,7,1),S46&gt;=DATE(2026,7,1)),IF(AND(MONTH(R46)=7,YEAR(R46)=2026),IF(AND(MONTH(S46)=7,YEAR(S46)=2026),"●","▶"),IF(AND(MONTH(S46)=7,YEAR(S46)=2026),"◀","─")),"")</f>
        <v/>
      </c>
      <c r="G46" s="67" t="str">
        <f>IF(AND(R46&lt;=DATE(2026,8,1),S46&gt;=DATE(2026,8,1)),IF(AND(MONTH(R46)=8,YEAR(R46)=2026),IF(AND(MONTH(S46)=8,YEAR(S46)=2026),"●","▶"),IF(AND(MONTH(S46)=8,YEAR(S46)=2026),"◀","─")),"")</f>
        <v/>
      </c>
      <c r="H46" s="67" t="str">
        <f>IF(AND(R46&lt;=DATE(2026,9,1),S46&gt;=DATE(2026,9,1)),IF(AND(MONTH(R46)=9,YEAR(R46)=2026),IF(AND(MONTH(S46)=9,YEAR(S46)=2026),"●","▶"),IF(AND(MONTH(S46)=9,YEAR(S46)=2026),"◀","─")),"")</f>
        <v/>
      </c>
      <c r="I46" s="67" t="str">
        <f>IF(AND(R46&lt;=DATE(2026,10,1),S46&gt;=DATE(2026,10,1)),IF(AND(MONTH(R46)=10,YEAR(R46)=2026),IF(AND(MONTH(S46)=10,YEAR(S46)=2026),"●","▶"),IF(AND(MONTH(S46)=10,YEAR(S46)=2026),"◀","─")),"")</f>
        <v/>
      </c>
      <c r="J46" s="67" t="str">
        <f>IF(AND(R46&lt;=DATE(2026,11,1),S46&gt;=DATE(2026,11,1)),IF(AND(MONTH(R46)=11,YEAR(R46)=2026),IF(AND(MONTH(S46)=11,YEAR(S46)=2026),"●","▶"),IF(AND(MONTH(S46)=11,YEAR(S46)=2026),"◀","─")),"")</f>
        <v/>
      </c>
      <c r="K46" s="67" t="str">
        <f>IF(AND(R46&lt;=DATE(2026,12,1),S46&gt;=DATE(2026,12,1)),IF(AND(MONTH(R46)=12,YEAR(R46)=2026),IF(AND(MONTH(S46)=12,YEAR(S46)=2026),"●","▶"),IF(AND(MONTH(S46)=12,YEAR(S46)=2026),"◀","─")),"")</f>
        <v/>
      </c>
      <c r="L46" s="67" t="str">
        <f>IF(AND(R46&lt;=DATE(2027,1,1),S46&gt;=DATE(2027,1,1)),IF(AND(MONTH(R46)=1,YEAR(R46)=2027),IF(AND(MONTH(S46)=1,YEAR(S46)=2027),"●","▶"),IF(AND(MONTH(S46)=1,YEAR(S46)=2027),"◀","─")),"")</f>
        <v/>
      </c>
      <c r="M46" s="67" t="str">
        <f>IF(AND(R46&lt;=DATE(2027,2,1),S46&gt;=DATE(2027,2,1)),IF(AND(MONTH(R46)=2,YEAR(R46)=2027),IF(AND(MONTH(S46)=2,YEAR(S46)=2027),"●","▶"),IF(AND(MONTH(S46)=2,YEAR(S46)=2027),"◀","─")),"")</f>
        <v/>
      </c>
      <c r="N46" s="67" t="str">
        <f>IF(AND(R46&lt;=DATE(2027,3,1),S46&gt;=DATE(2027,3,1)),IF(AND(MONTH(R46)=3,YEAR(R46)=2027),IF(AND(MONTH(S46)=3,YEAR(S46)=2027),"●","▶"),IF(AND(MONTH(S46)=3,YEAR(S46)=2027),"◀","─")),"")</f>
        <v/>
      </c>
      <c r="O46" s="67" t="str">
        <f>IF(AND(R46&lt;=DATE(2027,4,1),S46&gt;=DATE(2027,4,1)),IF(AND(MONTH(R46)=4,YEAR(R46)=2027),IF(AND(MONTH(S46)=4,YEAR(S46)=2027),"●","▶"),IF(AND(MONTH(S46)=4,YEAR(S46)=2027),"◀","─")),"")</f>
        <v/>
      </c>
      <c r="P46" s="67" t="str">
        <f>IF(AND(R46&lt;=DATE(2027,5,1),S46&gt;=DATE(2027,5,1)),IF(AND(MONTH(R46)=5,YEAR(R46)=2027),IF(AND(MONTH(S46)=5,YEAR(S46)=2027),"●","▶"),IF(AND(MONTH(S46)=5,YEAR(S46)=2027),"◀","─")),"")</f>
        <v/>
      </c>
      <c r="Q46" s="67" t="str">
        <f>IF(AND(R46&lt;=DATE(2027,6,1),S46&gt;=DATE(2027,6,1)),IF(AND(MONTH(R46)=6,YEAR(R46)=2027),IF(AND(MONTH(S46)=6,YEAR(S46)=2027),"●","▶"),IF(AND(MONTH(S46)=6,YEAR(S46)=2027),"◀","─")),"")</f>
        <v>◀</v>
      </c>
      <c r="R46" s="29">
        <f>EDATE($C$2,1)</f>
        <v>46524</v>
      </c>
      <c r="S46" s="29">
        <f>EDATE($C$2,2)</f>
        <v>46555</v>
      </c>
      <c r="T46" s="30">
        <v>3</v>
      </c>
    </row>
    <row r="47" spans="1:20" ht="21" customHeight="1">
      <c r="A47" s="68"/>
      <c r="B47" s="66" t="s">
        <v>82</v>
      </c>
      <c r="C47" s="27" t="s">
        <v>29</v>
      </c>
      <c r="D47" s="67" t="str">
        <f>IF(AND(R47&lt;=DATE(2026,5,1),S47&gt;=DATE(2026,5,1)),IF(AND(MONTH(R47)=5,YEAR(R47)=2026),IF(AND(MONTH(S47)=5,YEAR(S47)=2026),"●","▶"),IF(AND(MONTH(S47)=5,YEAR(S47)=2026),"◀","─")),"")</f>
        <v/>
      </c>
      <c r="E47" s="67" t="str">
        <f>IF(AND(R47&lt;=DATE(2026,6,1),S47&gt;=DATE(2026,6,1)),IF(AND(MONTH(R47)=6,YEAR(R47)=2026),IF(AND(MONTH(S47)=6,YEAR(S47)=2026),"●","▶"),IF(AND(MONTH(S47)=6,YEAR(S47)=2026),"◀","─")),"")</f>
        <v/>
      </c>
      <c r="F47" s="67" t="str">
        <f>IF(AND(R47&lt;=DATE(2026,7,1),S47&gt;=DATE(2026,7,1)),IF(AND(MONTH(R47)=7,YEAR(R47)=2026),IF(AND(MONTH(S47)=7,YEAR(S47)=2026),"●","▶"),IF(AND(MONTH(S47)=7,YEAR(S47)=2026),"◀","─")),"")</f>
        <v/>
      </c>
      <c r="G47" s="67" t="str">
        <f>IF(AND(R47&lt;=DATE(2026,8,1),S47&gt;=DATE(2026,8,1)),IF(AND(MONTH(R47)=8,YEAR(R47)=2026),IF(AND(MONTH(S47)=8,YEAR(S47)=2026),"●","▶"),IF(AND(MONTH(S47)=8,YEAR(S47)=2026),"◀","─")),"")</f>
        <v/>
      </c>
      <c r="H47" s="67" t="str">
        <f>IF(AND(R47&lt;=DATE(2026,9,1),S47&gt;=DATE(2026,9,1)),IF(AND(MONTH(R47)=9,YEAR(R47)=2026),IF(AND(MONTH(S47)=9,YEAR(S47)=2026),"●","▶"),IF(AND(MONTH(S47)=9,YEAR(S47)=2026),"◀","─")),"")</f>
        <v/>
      </c>
      <c r="I47" s="67" t="str">
        <f>IF(AND(R47&lt;=DATE(2026,10,1),S47&gt;=DATE(2026,10,1)),IF(AND(MONTH(R47)=10,YEAR(R47)=2026),IF(AND(MONTH(S47)=10,YEAR(S47)=2026),"●","▶"),IF(AND(MONTH(S47)=10,YEAR(S47)=2026),"◀","─")),"")</f>
        <v/>
      </c>
      <c r="J47" s="67" t="str">
        <f>IF(AND(R47&lt;=DATE(2026,11,1),S47&gt;=DATE(2026,11,1)),IF(AND(MONTH(R47)=11,YEAR(R47)=2026),IF(AND(MONTH(S47)=11,YEAR(S47)=2026),"●","▶"),IF(AND(MONTH(S47)=11,YEAR(S47)=2026),"◀","─")),"")</f>
        <v/>
      </c>
      <c r="K47" s="67" t="str">
        <f>IF(AND(R47&lt;=DATE(2026,12,1),S47&gt;=DATE(2026,12,1)),IF(AND(MONTH(R47)=12,YEAR(R47)=2026),IF(AND(MONTH(S47)=12,YEAR(S47)=2026),"●","▶"),IF(AND(MONTH(S47)=12,YEAR(S47)=2026),"◀","─")),"")</f>
        <v/>
      </c>
      <c r="L47" s="67" t="str">
        <f>IF(AND(R47&lt;=DATE(2027,1,1),S47&gt;=DATE(2027,1,1)),IF(AND(MONTH(R47)=1,YEAR(R47)=2027),IF(AND(MONTH(S47)=1,YEAR(S47)=2027),"●","▶"),IF(AND(MONTH(S47)=1,YEAR(S47)=2027),"◀","─")),"")</f>
        <v/>
      </c>
      <c r="M47" s="67" t="str">
        <f>IF(AND(R47&lt;=DATE(2027,2,1),S47&gt;=DATE(2027,2,1)),IF(AND(MONTH(R47)=2,YEAR(R47)=2027),IF(AND(MONTH(S47)=2,YEAR(S47)=2027),"●","▶"),IF(AND(MONTH(S47)=2,YEAR(S47)=2027),"◀","─")),"")</f>
        <v/>
      </c>
      <c r="N47" s="67" t="str">
        <f>IF(AND(R47&lt;=DATE(2027,3,1),S47&gt;=DATE(2027,3,1)),IF(AND(MONTH(R47)=3,YEAR(R47)=2027),IF(AND(MONTH(S47)=3,YEAR(S47)=2027),"●","▶"),IF(AND(MONTH(S47)=3,YEAR(S47)=2027),"◀","─")),"")</f>
        <v/>
      </c>
      <c r="O47" s="67" t="str">
        <f>IF(AND(R47&lt;=DATE(2027,4,1),S47&gt;=DATE(2027,4,1)),IF(AND(MONTH(R47)=4,YEAR(R47)=2027),IF(AND(MONTH(S47)=4,YEAR(S47)=2027),"●","▶"),IF(AND(MONTH(S47)=4,YEAR(S47)=2027),"◀","─")),"")</f>
        <v/>
      </c>
      <c r="P47" s="67" t="str">
        <f>IF(AND(R47&lt;=DATE(2027,5,1),S47&gt;=DATE(2027,5,1)),IF(AND(MONTH(R47)=5,YEAR(R47)=2027),IF(AND(MONTH(S47)=5,YEAR(S47)=2027),"●","▶"),IF(AND(MONTH(S47)=5,YEAR(S47)=2027),"◀","─")),"")</f>
        <v/>
      </c>
      <c r="Q47" s="67" t="str">
        <f>IF(AND(R47&lt;=DATE(2027,6,1),S47&gt;=DATE(2027,6,1)),IF(AND(MONTH(R47)=6,YEAR(R47)=2027),IF(AND(MONTH(S47)=6,YEAR(S47)=2027),"●","▶"),IF(AND(MONTH(S47)=6,YEAR(S47)=2027),"◀","─")),"")</f>
        <v>─</v>
      </c>
      <c r="R47" s="29">
        <f>EDATE($C$2,1)</f>
        <v>46524</v>
      </c>
      <c r="S47" s="29">
        <f>EDATE($C$2,3)</f>
        <v>46585</v>
      </c>
      <c r="T47" s="30">
        <v>3</v>
      </c>
    </row>
  </sheetData>
  <mergeCells count="5">
    <mergeCell ref="A1:Q1"/>
    <mergeCell ref="A2:B2"/>
    <mergeCell ref="D2:F2"/>
    <mergeCell ref="G2:J2"/>
    <mergeCell ref="A3:C3"/>
  </mergeCells>
  <phoneticPr fontId="49" type="noConversion"/>
  <conditionalFormatting sqref="D4:D47">
    <cfRule type="expression" dxfId="103" priority="8">
      <formula>AND(YEAR($C$2)=2026,MONTH($C$2)=5)</formula>
    </cfRule>
    <cfRule type="expression" dxfId="102" priority="7">
      <formula>AND(DATE(2026,5,1)&lt;=TODAY(),TODAY()&lt;DATE(2026,6,1))</formula>
    </cfRule>
  </conditionalFormatting>
  <conditionalFormatting sqref="D5:D47">
    <cfRule type="expression" dxfId="101" priority="3">
      <formula>AND(T5=5,R5&lt;=DATE(2026,5,1),S5&gt;=DATE(2026,5,1))</formula>
    </cfRule>
    <cfRule type="expression" dxfId="100" priority="4">
      <formula>AND(T5=1,R5&lt;=DATE(2026,5,1),S5&gt;=DATE(2026,5,1))</formula>
    </cfRule>
    <cfRule type="expression" dxfId="99" priority="5">
      <formula>AND(T5=2,R5&lt;=DATE(2026,5,1),S5&gt;=DATE(2026,5,1))</formula>
    </cfRule>
    <cfRule type="expression" dxfId="98" priority="6">
      <formula>AND(T5=3,R5&lt;=DATE(2026,5,1),S5&gt;=DATE(2026,5,1))</formula>
    </cfRule>
    <cfRule type="expression" dxfId="97" priority="2">
      <formula>AND(T5=4,R5&lt;=DATE(2026,5,1),S5&gt;=DATE(2026,5,1))</formula>
    </cfRule>
  </conditionalFormatting>
  <conditionalFormatting sqref="E4:E47">
    <cfRule type="expression" dxfId="96" priority="14">
      <formula>AND(DATE(2026,6,1)&lt;=TODAY(),TODAY()&lt;DATE(2026,7,1))</formula>
    </cfRule>
    <cfRule type="expression" dxfId="95" priority="15">
      <formula>AND(YEAR($C$2)=2026,MONTH($C$2)=6)</formula>
    </cfRule>
  </conditionalFormatting>
  <conditionalFormatting sqref="E5:E47">
    <cfRule type="expression" dxfId="94" priority="9">
      <formula>AND(T5=4,R5&lt;=DATE(2026,6,1),S5&gt;=DATE(2026,6,1))</formula>
    </cfRule>
    <cfRule type="expression" dxfId="93" priority="10">
      <formula>AND(T5=5,R5&lt;=DATE(2026,6,1),S5&gt;=DATE(2026,6,1))</formula>
    </cfRule>
    <cfRule type="expression" dxfId="92" priority="11">
      <formula>AND(T5=1,R5&lt;=DATE(2026,6,1),S5&gt;=DATE(2026,6,1))</formula>
    </cfRule>
    <cfRule type="expression" dxfId="91" priority="12">
      <formula>AND(T5=2,R5&lt;=DATE(2026,6,1),S5&gt;=DATE(2026,6,1))</formula>
    </cfRule>
    <cfRule type="expression" dxfId="90" priority="13">
      <formula>AND(T5=3,R5&lt;=DATE(2026,6,1),S5&gt;=DATE(2026,6,1))</formula>
    </cfRule>
  </conditionalFormatting>
  <conditionalFormatting sqref="F4:F47">
    <cfRule type="expression" dxfId="89" priority="21">
      <formula>AND(DATE(2026,7,1)&lt;=TODAY(),TODAY()&lt;DATE(2026,8,1))</formula>
    </cfRule>
    <cfRule type="expression" dxfId="88" priority="22">
      <formula>AND(YEAR($C$2)=2026,MONTH($C$2)=7)</formula>
    </cfRule>
  </conditionalFormatting>
  <conditionalFormatting sqref="F5:F47">
    <cfRule type="expression" dxfId="87" priority="16">
      <formula>AND(T5=4,R5&lt;=DATE(2026,7,1),S5&gt;=DATE(2026,7,1))</formula>
    </cfRule>
    <cfRule type="expression" dxfId="86" priority="17">
      <formula>AND(T5=5,R5&lt;=DATE(2026,7,1),S5&gt;=DATE(2026,7,1))</formula>
    </cfRule>
    <cfRule type="expression" dxfId="85" priority="18">
      <formula>AND(T5=1,R5&lt;=DATE(2026,7,1),S5&gt;=DATE(2026,7,1))</formula>
    </cfRule>
    <cfRule type="expression" dxfId="84" priority="19">
      <formula>AND(T5=2,R5&lt;=DATE(2026,7,1),S5&gt;=DATE(2026,7,1))</formula>
    </cfRule>
    <cfRule type="expression" dxfId="83" priority="20">
      <formula>AND(T5=3,R5&lt;=DATE(2026,7,1),S5&gt;=DATE(2026,7,1))</formula>
    </cfRule>
  </conditionalFormatting>
  <conditionalFormatting sqref="G4:G47">
    <cfRule type="expression" dxfId="82" priority="28">
      <formula>AND(DATE(2026,8,1)&lt;=TODAY(),TODAY()&lt;DATE(2026,9,1))</formula>
    </cfRule>
    <cfRule type="expression" dxfId="81" priority="29">
      <formula>AND(YEAR($C$2)=2026,MONTH($C$2)=8)</formula>
    </cfRule>
  </conditionalFormatting>
  <conditionalFormatting sqref="G5:G47">
    <cfRule type="expression" dxfId="80" priority="25">
      <formula>AND(T5=1,R5&lt;=DATE(2026,8,1),S5&gt;=DATE(2026,8,1))</formula>
    </cfRule>
    <cfRule type="expression" dxfId="79" priority="26">
      <formula>AND(T5=2,R5&lt;=DATE(2026,8,1),S5&gt;=DATE(2026,8,1))</formula>
    </cfRule>
    <cfRule type="expression" dxfId="78" priority="27">
      <formula>AND(T5=3,R5&lt;=DATE(2026,8,1),S5&gt;=DATE(2026,8,1))</formula>
    </cfRule>
    <cfRule type="expression" dxfId="77" priority="23">
      <formula>AND(T5=4,R5&lt;=DATE(2026,8,1),S5&gt;=DATE(2026,8,1))</formula>
    </cfRule>
    <cfRule type="expression" dxfId="76" priority="24">
      <formula>AND(T5=5,R5&lt;=DATE(2026,8,1),S5&gt;=DATE(2026,8,1))</formula>
    </cfRule>
  </conditionalFormatting>
  <conditionalFormatting sqref="H4:H47">
    <cfRule type="expression" dxfId="75" priority="35">
      <formula>AND(DATE(2026,9,1)&lt;=TODAY(),TODAY()&lt;DATE(2026,10,1))</formula>
    </cfRule>
    <cfRule type="expression" dxfId="74" priority="36">
      <formula>AND(YEAR($C$2)=2026,MONTH($C$2)=9)</formula>
    </cfRule>
  </conditionalFormatting>
  <conditionalFormatting sqref="H5:H47">
    <cfRule type="expression" dxfId="73" priority="30">
      <formula>AND(T5=4,R5&lt;=DATE(2026,9,1),S5&gt;=DATE(2026,9,1))</formula>
    </cfRule>
    <cfRule type="expression" dxfId="72" priority="31">
      <formula>AND(T5=5,R5&lt;=DATE(2026,9,1),S5&gt;=DATE(2026,9,1))</formula>
    </cfRule>
    <cfRule type="expression" dxfId="71" priority="32">
      <formula>AND(T5=1,R5&lt;=DATE(2026,9,1),S5&gt;=DATE(2026,9,1))</formula>
    </cfRule>
    <cfRule type="expression" dxfId="70" priority="33">
      <formula>AND(T5=2,R5&lt;=DATE(2026,9,1),S5&gt;=DATE(2026,9,1))</formula>
    </cfRule>
    <cfRule type="expression" dxfId="69" priority="34">
      <formula>AND(T5=3,R5&lt;=DATE(2026,9,1),S5&gt;=DATE(2026,9,1))</formula>
    </cfRule>
  </conditionalFormatting>
  <conditionalFormatting sqref="I4:I47">
    <cfRule type="expression" dxfId="68" priority="42">
      <formula>AND(DATE(2026,10,1)&lt;=TODAY(),TODAY()&lt;DATE(2026,11,1))</formula>
    </cfRule>
    <cfRule type="expression" dxfId="67" priority="43">
      <formula>AND(YEAR($C$2)=2026,MONTH($C$2)=10)</formula>
    </cfRule>
  </conditionalFormatting>
  <conditionalFormatting sqref="I5:I47">
    <cfRule type="expression" dxfId="66" priority="37">
      <formula>AND(T5=4,R5&lt;=DATE(2026,10,1),S5&gt;=DATE(2026,10,1))</formula>
    </cfRule>
    <cfRule type="expression" dxfId="65" priority="38">
      <formula>AND(T5=5,R5&lt;=DATE(2026,10,1),S5&gt;=DATE(2026,10,1))</formula>
    </cfRule>
    <cfRule type="expression" dxfId="64" priority="39">
      <formula>AND(T5=1,R5&lt;=DATE(2026,10,1),S5&gt;=DATE(2026,10,1))</formula>
    </cfRule>
    <cfRule type="expression" dxfId="63" priority="40">
      <formula>AND(T5=2,R5&lt;=DATE(2026,10,1),S5&gt;=DATE(2026,10,1))</formula>
    </cfRule>
    <cfRule type="expression" dxfId="62" priority="41">
      <formula>AND(T5=3,R5&lt;=DATE(2026,10,1),S5&gt;=DATE(2026,10,1))</formula>
    </cfRule>
  </conditionalFormatting>
  <conditionalFormatting sqref="J4:J47">
    <cfRule type="expression" dxfId="61" priority="49">
      <formula>AND(DATE(2026,11,1)&lt;=TODAY(),TODAY()&lt;DATE(2026,12,1))</formula>
    </cfRule>
    <cfRule type="expression" dxfId="60" priority="50">
      <formula>AND(YEAR($C$2)=2026,MONTH($C$2)=11)</formula>
    </cfRule>
  </conditionalFormatting>
  <conditionalFormatting sqref="J5:J47">
    <cfRule type="expression" dxfId="59" priority="44">
      <formula>AND(T5=4,R5&lt;=DATE(2026,11,1),S5&gt;=DATE(2026,11,1))</formula>
    </cfRule>
    <cfRule type="expression" dxfId="58" priority="45">
      <formula>AND(T5=5,R5&lt;=DATE(2026,11,1),S5&gt;=DATE(2026,11,1))</formula>
    </cfRule>
    <cfRule type="expression" dxfId="57" priority="46">
      <formula>AND(T5=1,R5&lt;=DATE(2026,11,1),S5&gt;=DATE(2026,11,1))</formula>
    </cfRule>
    <cfRule type="expression" dxfId="56" priority="47">
      <formula>AND(T5=2,R5&lt;=DATE(2026,11,1),S5&gt;=DATE(2026,11,1))</formula>
    </cfRule>
    <cfRule type="expression" dxfId="55" priority="48">
      <formula>AND(T5=3,R5&lt;=DATE(2026,11,1),S5&gt;=DATE(2026,11,1))</formula>
    </cfRule>
  </conditionalFormatting>
  <conditionalFormatting sqref="K4:K47">
    <cfRule type="expression" dxfId="54" priority="56">
      <formula>AND(DATE(2026,12,1)&lt;=TODAY(),TODAY()&lt;DATE(2027,1,1))</formula>
    </cfRule>
    <cfRule type="expression" dxfId="53" priority="57">
      <formula>AND(YEAR($C$2)=2026,MONTH($C$2)=12)</formula>
    </cfRule>
  </conditionalFormatting>
  <conditionalFormatting sqref="K5:K47">
    <cfRule type="expression" dxfId="52" priority="53">
      <formula>AND(T5=1,R5&lt;=DATE(2026,12,1),S5&gt;=DATE(2026,12,1))</formula>
    </cfRule>
    <cfRule type="expression" dxfId="51" priority="54">
      <formula>AND(T5=2,R5&lt;=DATE(2026,12,1),S5&gt;=DATE(2026,12,1))</formula>
    </cfRule>
    <cfRule type="expression" dxfId="50" priority="55">
      <formula>AND(T5=3,R5&lt;=DATE(2026,12,1),S5&gt;=DATE(2026,12,1))</formula>
    </cfRule>
    <cfRule type="expression" dxfId="49" priority="51">
      <formula>AND(T5=4,R5&lt;=DATE(2026,12,1),S5&gt;=DATE(2026,12,1))</formula>
    </cfRule>
    <cfRule type="expression" dxfId="48" priority="52">
      <formula>AND(T5=5,R5&lt;=DATE(2026,12,1),S5&gt;=DATE(2026,12,1))</formula>
    </cfRule>
  </conditionalFormatting>
  <conditionalFormatting sqref="L4:L47">
    <cfRule type="expression" dxfId="47" priority="63">
      <formula>AND(DATE(2027,1,1)&lt;=TODAY(),TODAY()&lt;DATE(2027,2,1))</formula>
    </cfRule>
    <cfRule type="expression" dxfId="46" priority="64">
      <formula>AND(YEAR($C$2)=2027,MONTH($C$2)=1)</formula>
    </cfRule>
  </conditionalFormatting>
  <conditionalFormatting sqref="L5:L47">
    <cfRule type="expression" dxfId="45" priority="59">
      <formula>AND(T5=5,R5&lt;=DATE(2027,1,1),S5&gt;=DATE(2027,1,1))</formula>
    </cfRule>
    <cfRule type="expression" dxfId="44" priority="60">
      <formula>AND(T5=1,R5&lt;=DATE(2027,1,1),S5&gt;=DATE(2027,1,1))</formula>
    </cfRule>
    <cfRule type="expression" dxfId="43" priority="61">
      <formula>AND(T5=2,R5&lt;=DATE(2027,1,1),S5&gt;=DATE(2027,1,1))</formula>
    </cfRule>
    <cfRule type="expression" dxfId="42" priority="62">
      <formula>AND(T5=3,R5&lt;=DATE(2027,1,1),S5&gt;=DATE(2027,1,1))</formula>
    </cfRule>
    <cfRule type="expression" dxfId="41" priority="58">
      <formula>AND(T5=4,R5&lt;=DATE(2027,1,1),S5&gt;=DATE(2027,1,1))</formula>
    </cfRule>
  </conditionalFormatting>
  <conditionalFormatting sqref="M4:M47">
    <cfRule type="expression" dxfId="40" priority="70">
      <formula>AND(DATE(2027,2,1)&lt;=TODAY(),TODAY()&lt;DATE(2027,3,1))</formula>
    </cfRule>
    <cfRule type="expression" dxfId="39" priority="71">
      <formula>AND(YEAR($C$2)=2027,MONTH($C$2)=2)</formula>
    </cfRule>
  </conditionalFormatting>
  <conditionalFormatting sqref="M5:M47">
    <cfRule type="expression" dxfId="38" priority="65">
      <formula>AND(T5=4,R5&lt;=DATE(2027,2,1),S5&gt;=DATE(2027,2,1))</formula>
    </cfRule>
    <cfRule type="expression" dxfId="37" priority="66">
      <formula>AND(T5=5,R5&lt;=DATE(2027,2,1),S5&gt;=DATE(2027,2,1))</formula>
    </cfRule>
    <cfRule type="expression" dxfId="36" priority="67">
      <formula>AND(T5=1,R5&lt;=DATE(2027,2,1),S5&gt;=DATE(2027,2,1))</formula>
    </cfRule>
    <cfRule type="expression" dxfId="35" priority="68">
      <formula>AND(T5=2,R5&lt;=DATE(2027,2,1),S5&gt;=DATE(2027,2,1))</formula>
    </cfRule>
    <cfRule type="expression" dxfId="34" priority="69">
      <formula>AND(T5=3,R5&lt;=DATE(2027,2,1),S5&gt;=DATE(2027,2,1))</formula>
    </cfRule>
  </conditionalFormatting>
  <conditionalFormatting sqref="N4:N47">
    <cfRule type="expression" dxfId="33" priority="77">
      <formula>AND(DATE(2027,3,1)&lt;=TODAY(),TODAY()&lt;DATE(2027,4,1))</formula>
    </cfRule>
    <cfRule type="expression" dxfId="32" priority="78">
      <formula>AND(YEAR($C$2)=2027,MONTH($C$2)=3)</formula>
    </cfRule>
  </conditionalFormatting>
  <conditionalFormatting sqref="N5:N47">
    <cfRule type="expression" dxfId="31" priority="72">
      <formula>AND(T5=4,R5&lt;=DATE(2027,3,1),S5&gt;=DATE(2027,3,1))</formula>
    </cfRule>
    <cfRule type="expression" dxfId="30" priority="73">
      <formula>AND(T5=5,R5&lt;=DATE(2027,3,1),S5&gt;=DATE(2027,3,1))</formula>
    </cfRule>
    <cfRule type="expression" dxfId="29" priority="74">
      <formula>AND(T5=1,R5&lt;=DATE(2027,3,1),S5&gt;=DATE(2027,3,1))</formula>
    </cfRule>
    <cfRule type="expression" dxfId="28" priority="75">
      <formula>AND(T5=2,R5&lt;=DATE(2027,3,1),S5&gt;=DATE(2027,3,1))</formula>
    </cfRule>
    <cfRule type="expression" dxfId="27" priority="76">
      <formula>AND(T5=3,R5&lt;=DATE(2027,3,1),S5&gt;=DATE(2027,3,1))</formula>
    </cfRule>
  </conditionalFormatting>
  <conditionalFormatting sqref="O4:O47">
    <cfRule type="expression" dxfId="26" priority="84">
      <formula>AND(DATE(2027,4,1)&lt;=TODAY(),TODAY()&lt;DATE(2027,5,1))</formula>
    </cfRule>
    <cfRule type="expression" dxfId="25" priority="85">
      <formula>AND(YEAR($C$2)=2027,MONTH($C$2)=4)</formula>
    </cfRule>
  </conditionalFormatting>
  <conditionalFormatting sqref="O5:O47">
    <cfRule type="expression" dxfId="24" priority="81">
      <formula>AND(T5=1,R5&lt;=DATE(2027,4,1),S5&gt;=DATE(2027,4,1))</formula>
    </cfRule>
    <cfRule type="expression" dxfId="23" priority="82">
      <formula>AND(T5=2,R5&lt;=DATE(2027,4,1),S5&gt;=DATE(2027,4,1))</formula>
    </cfRule>
    <cfRule type="expression" dxfId="22" priority="83">
      <formula>AND(T5=3,R5&lt;=DATE(2027,4,1),S5&gt;=DATE(2027,4,1))</formula>
    </cfRule>
    <cfRule type="expression" dxfId="21" priority="79">
      <formula>AND(T5=4,R5&lt;=DATE(2027,4,1),S5&gt;=DATE(2027,4,1))</formula>
    </cfRule>
    <cfRule type="expression" dxfId="20" priority="80">
      <formula>AND(T5=5,R5&lt;=DATE(2027,4,1),S5&gt;=DATE(2027,4,1))</formula>
    </cfRule>
  </conditionalFormatting>
  <conditionalFormatting sqref="P4:P47">
    <cfRule type="expression" dxfId="19" priority="91">
      <formula>AND(DATE(2027,5,1)&lt;=TODAY(),TODAY()&lt;DATE(2027,6,1))</formula>
    </cfRule>
    <cfRule type="expression" dxfId="18" priority="92">
      <formula>AND(YEAR($C$2)=2027,MONTH($C$2)=5)</formula>
    </cfRule>
  </conditionalFormatting>
  <conditionalFormatting sqref="P5:P47">
    <cfRule type="expression" dxfId="17" priority="86">
      <formula>AND(T5=4,R5&lt;=DATE(2027,5,1),S5&gt;=DATE(2027,5,1))</formula>
    </cfRule>
    <cfRule type="expression" dxfId="16" priority="87">
      <formula>AND(T5=5,R5&lt;=DATE(2027,5,1),S5&gt;=DATE(2027,5,1))</formula>
    </cfRule>
    <cfRule type="expression" dxfId="15" priority="88">
      <formula>AND(T5=1,R5&lt;=DATE(2027,5,1),S5&gt;=DATE(2027,5,1))</formula>
    </cfRule>
    <cfRule type="expression" dxfId="14" priority="89">
      <formula>AND(T5=2,R5&lt;=DATE(2027,5,1),S5&gt;=DATE(2027,5,1))</formula>
    </cfRule>
    <cfRule type="expression" dxfId="13" priority="90">
      <formula>AND(T5=3,R5&lt;=DATE(2027,5,1),S5&gt;=DATE(2027,5,1))</formula>
    </cfRule>
  </conditionalFormatting>
  <conditionalFormatting sqref="Q4:Q47">
    <cfRule type="expression" dxfId="12" priority="99">
      <formula>AND(YEAR($C$2)=2027,MONTH($C$2)=6)</formula>
    </cfRule>
    <cfRule type="expression" dxfId="11" priority="98">
      <formula>AND(DATE(2027,6,1)&lt;=TODAY(),TODAY()&lt;DATE(2027,7,1))</formula>
    </cfRule>
  </conditionalFormatting>
  <conditionalFormatting sqref="Q5:Q47">
    <cfRule type="expression" dxfId="10" priority="93">
      <formula>AND(T5=4,R5&lt;=DATE(2027,6,1),S5&gt;=DATE(2027,6,1))</formula>
    </cfRule>
    <cfRule type="expression" dxfId="9" priority="95">
      <formula>AND(T5=1,R5&lt;=DATE(2027,6,1),S5&gt;=DATE(2027,6,1))</formula>
    </cfRule>
    <cfRule type="expression" dxfId="8" priority="96">
      <formula>AND(T5=2,R5&lt;=DATE(2027,6,1),S5&gt;=DATE(2027,6,1))</formula>
    </cfRule>
    <cfRule type="expression" dxfId="7" priority="97">
      <formula>AND(T5=3,R5&lt;=DATE(2027,6,1),S5&gt;=DATE(2027,6,1))</formula>
    </cfRule>
    <cfRule type="expression" dxfId="6" priority="94">
      <formula>AND(T5=5,R5&lt;=DATE(2027,6,1),S5&gt;=DATE(2027,6,1))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Normal="100" workbookViewId="0">
      <pane ySplit="4" topLeftCell="A5" activePane="bottomLeft" state="frozen"/>
      <selection pane="bottomLeft" activeCell="E11" sqref="E11"/>
    </sheetView>
  </sheetViews>
  <sheetFormatPr defaultColWidth="8.6640625" defaultRowHeight="14.4"/>
  <cols>
    <col min="1" max="1" width="5" customWidth="1"/>
    <col min="2" max="2" width="11" customWidth="1"/>
    <col min="3" max="3" width="30" customWidth="1"/>
    <col min="4" max="4" width="7" customWidth="1"/>
    <col min="5" max="5" width="14" customWidth="1"/>
    <col min="6" max="6" width="13" customWidth="1"/>
    <col min="7" max="7" width="9" customWidth="1"/>
    <col min="8" max="8" width="34" customWidth="1"/>
    <col min="9" max="9" width="14" customWidth="1"/>
  </cols>
  <sheetData>
    <row r="1" spans="1:9" ht="30" customHeight="1">
      <c r="A1" s="9" t="s">
        <v>83</v>
      </c>
      <c r="B1" s="9"/>
      <c r="C1" s="9"/>
      <c r="D1" s="9"/>
      <c r="E1" s="9"/>
      <c r="F1" s="9"/>
      <c r="G1" s="9"/>
      <c r="H1" s="9"/>
      <c r="I1" s="9"/>
    </row>
    <row r="2" spans="1:9" ht="15.75" customHeight="1">
      <c r="A2" s="8" t="s">
        <v>84</v>
      </c>
      <c r="B2" s="8"/>
      <c r="C2" s="8"/>
      <c r="D2" s="8"/>
      <c r="E2" s="8"/>
      <c r="F2" s="8"/>
      <c r="G2" s="8"/>
      <c r="H2" s="8"/>
      <c r="I2" s="8"/>
    </row>
    <row r="3" spans="1:9" ht="15.75" customHeight="1">
      <c r="A3" s="7" t="s">
        <v>85</v>
      </c>
      <c r="B3" s="7"/>
      <c r="C3" s="7"/>
      <c r="D3" s="7"/>
      <c r="E3" s="7"/>
      <c r="F3" s="7"/>
      <c r="G3" s="7"/>
      <c r="H3" s="7"/>
      <c r="I3" s="7"/>
    </row>
    <row r="4" spans="1:9" ht="21.75" customHeight="1">
      <c r="A4" s="23" t="s">
        <v>86</v>
      </c>
      <c r="B4" s="23" t="s">
        <v>10</v>
      </c>
      <c r="C4" s="23" t="s">
        <v>87</v>
      </c>
      <c r="D4" s="23" t="s">
        <v>88</v>
      </c>
      <c r="E4" s="23" t="s">
        <v>89</v>
      </c>
      <c r="F4" s="23" t="s">
        <v>90</v>
      </c>
      <c r="G4" s="23" t="s">
        <v>91</v>
      </c>
      <c r="H4" s="23" t="s">
        <v>92</v>
      </c>
      <c r="I4" s="23" t="s">
        <v>93</v>
      </c>
    </row>
    <row r="5" spans="1:9" ht="33.75" customHeight="1">
      <c r="A5" s="77" t="s">
        <v>377</v>
      </c>
      <c r="B5" s="25" t="s">
        <v>27</v>
      </c>
      <c r="C5" s="70" t="s">
        <v>95</v>
      </c>
      <c r="D5" s="71" t="s">
        <v>96</v>
      </c>
      <c r="E5" s="72" t="s">
        <v>97</v>
      </c>
      <c r="F5" s="73">
        <v>46129</v>
      </c>
      <c r="G5" s="72" t="str">
        <f ca="1">IF(F5="","",IF(F5&lt;TODAY(),"🔴 逾期",IF(F5-TODAY()&lt;=30,"🟡 即將","🟢 正常")))</f>
        <v>🔴 逾期</v>
      </c>
      <c r="H5" s="74" t="s">
        <v>98</v>
      </c>
      <c r="I5" s="75"/>
    </row>
    <row r="6" spans="1:9" ht="33.75" customHeight="1">
      <c r="A6" s="69" t="s">
        <v>94</v>
      </c>
      <c r="B6" s="31"/>
      <c r="C6" s="70" t="s">
        <v>99</v>
      </c>
      <c r="D6" s="71" t="s">
        <v>96</v>
      </c>
      <c r="E6" s="72" t="s">
        <v>100</v>
      </c>
      <c r="F6" s="73">
        <v>46172</v>
      </c>
      <c r="G6" s="72" t="str">
        <f t="shared" ref="G5:G36" ca="1" si="0">IF(F6="","",IF(F6&lt;TODAY(),"🔴 逾期",IF(F6-TODAY()&lt;=30,"🟡 即將","🟢 正常")))</f>
        <v>🟡 即將</v>
      </c>
      <c r="H6" s="74" t="s">
        <v>101</v>
      </c>
      <c r="I6" s="75"/>
    </row>
    <row r="7" spans="1:9" ht="33.75" customHeight="1">
      <c r="A7" s="69" t="s">
        <v>94</v>
      </c>
      <c r="B7" s="31"/>
      <c r="C7" s="70" t="s">
        <v>102</v>
      </c>
      <c r="D7" s="71" t="s">
        <v>96</v>
      </c>
      <c r="E7" s="72" t="s">
        <v>103</v>
      </c>
      <c r="F7" s="73">
        <v>46203</v>
      </c>
      <c r="G7" s="72" t="str">
        <f t="shared" ca="1" si="0"/>
        <v>🟢 正常</v>
      </c>
      <c r="H7" s="74" t="s">
        <v>104</v>
      </c>
      <c r="I7" s="76" t="s">
        <v>105</v>
      </c>
    </row>
    <row r="8" spans="1:9" ht="33.75" customHeight="1">
      <c r="A8" s="69" t="s">
        <v>94</v>
      </c>
      <c r="B8" s="31"/>
      <c r="C8" s="70" t="s">
        <v>106</v>
      </c>
      <c r="D8" s="71" t="s">
        <v>96</v>
      </c>
      <c r="E8" s="72" t="s">
        <v>103</v>
      </c>
      <c r="F8" s="73">
        <v>46203</v>
      </c>
      <c r="G8" s="72" t="str">
        <f t="shared" ca="1" si="0"/>
        <v>🟢 正常</v>
      </c>
      <c r="H8" s="74" t="s">
        <v>107</v>
      </c>
      <c r="I8" s="75"/>
    </row>
    <row r="9" spans="1:9" ht="33.75" customHeight="1">
      <c r="A9" s="69" t="s">
        <v>94</v>
      </c>
      <c r="B9" s="31"/>
      <c r="C9" s="70" t="s">
        <v>33</v>
      </c>
      <c r="D9" s="71" t="s">
        <v>108</v>
      </c>
      <c r="E9" s="72" t="s">
        <v>103</v>
      </c>
      <c r="F9" s="73">
        <v>46203</v>
      </c>
      <c r="G9" s="72" t="str">
        <f t="shared" ca="1" si="0"/>
        <v>🟢 正常</v>
      </c>
      <c r="H9" s="74" t="s">
        <v>109</v>
      </c>
      <c r="I9" s="75"/>
    </row>
    <row r="10" spans="1:9" ht="33.75" customHeight="1">
      <c r="A10" s="69" t="s">
        <v>94</v>
      </c>
      <c r="B10" s="31"/>
      <c r="C10" s="70" t="s">
        <v>110</v>
      </c>
      <c r="D10" s="71" t="s">
        <v>96</v>
      </c>
      <c r="E10" s="72" t="s">
        <v>103</v>
      </c>
      <c r="F10" s="73">
        <v>46203</v>
      </c>
      <c r="G10" s="72" t="str">
        <f t="shared" ca="1" si="0"/>
        <v>🟢 正常</v>
      </c>
      <c r="H10" s="74" t="s">
        <v>111</v>
      </c>
      <c r="I10" s="75"/>
    </row>
    <row r="11" spans="1:9" ht="33.75" customHeight="1">
      <c r="A11" s="77" t="s">
        <v>94</v>
      </c>
      <c r="B11" s="32" t="s">
        <v>35</v>
      </c>
      <c r="C11" s="78" t="s">
        <v>36</v>
      </c>
      <c r="D11" s="71" t="s">
        <v>96</v>
      </c>
      <c r="E11" s="79" t="s">
        <v>112</v>
      </c>
      <c r="F11" s="80">
        <v>46234</v>
      </c>
      <c r="G11" s="79" t="str">
        <f t="shared" ca="1" si="0"/>
        <v>🟢 正常</v>
      </c>
      <c r="H11" s="81" t="s">
        <v>113</v>
      </c>
      <c r="I11" s="82" t="s">
        <v>114</v>
      </c>
    </row>
    <row r="12" spans="1:9" ht="33.75" customHeight="1">
      <c r="A12" s="77" t="s">
        <v>94</v>
      </c>
      <c r="B12" s="35"/>
      <c r="C12" s="78" t="s">
        <v>115</v>
      </c>
      <c r="D12" s="71" t="s">
        <v>96</v>
      </c>
      <c r="E12" s="79" t="s">
        <v>112</v>
      </c>
      <c r="F12" s="80">
        <v>46234</v>
      </c>
      <c r="G12" s="79" t="str">
        <f t="shared" ca="1" si="0"/>
        <v>🟢 正常</v>
      </c>
      <c r="H12" s="81" t="s">
        <v>116</v>
      </c>
      <c r="I12" s="82" t="s">
        <v>117</v>
      </c>
    </row>
    <row r="13" spans="1:9" ht="33.75" customHeight="1">
      <c r="A13" s="77" t="s">
        <v>94</v>
      </c>
      <c r="B13" s="35"/>
      <c r="C13" s="78" t="s">
        <v>38</v>
      </c>
      <c r="D13" s="71" t="s">
        <v>96</v>
      </c>
      <c r="E13" s="79" t="s">
        <v>118</v>
      </c>
      <c r="F13" s="80">
        <v>46265</v>
      </c>
      <c r="G13" s="79" t="str">
        <f t="shared" ca="1" si="0"/>
        <v>🟢 正常</v>
      </c>
      <c r="H13" s="81" t="s">
        <v>119</v>
      </c>
      <c r="I13" s="82" t="s">
        <v>120</v>
      </c>
    </row>
    <row r="14" spans="1:9" ht="33.75" customHeight="1">
      <c r="A14" s="77" t="s">
        <v>94</v>
      </c>
      <c r="B14" s="35"/>
      <c r="C14" s="78" t="s">
        <v>39</v>
      </c>
      <c r="D14" s="71" t="s">
        <v>96</v>
      </c>
      <c r="E14" s="79" t="s">
        <v>118</v>
      </c>
      <c r="F14" s="80">
        <v>46265</v>
      </c>
      <c r="G14" s="79" t="str">
        <f t="shared" ca="1" si="0"/>
        <v>🟢 正常</v>
      </c>
      <c r="H14" s="81" t="s">
        <v>121</v>
      </c>
      <c r="I14" s="82" t="s">
        <v>122</v>
      </c>
    </row>
    <row r="15" spans="1:9" ht="33.75" customHeight="1">
      <c r="A15" s="77" t="s">
        <v>94</v>
      </c>
      <c r="B15" s="35"/>
      <c r="C15" s="78" t="s">
        <v>40</v>
      </c>
      <c r="D15" s="83" t="s">
        <v>123</v>
      </c>
      <c r="E15" s="79" t="s">
        <v>118</v>
      </c>
      <c r="F15" s="80">
        <v>46265</v>
      </c>
      <c r="G15" s="79" t="str">
        <f t="shared" ca="1" si="0"/>
        <v>🟢 正常</v>
      </c>
      <c r="H15" s="81" t="s">
        <v>124</v>
      </c>
      <c r="I15" s="82" t="s">
        <v>125</v>
      </c>
    </row>
    <row r="16" spans="1:9" ht="33.75" customHeight="1">
      <c r="A16" s="77" t="s">
        <v>94</v>
      </c>
      <c r="B16" s="35"/>
      <c r="C16" s="78" t="s">
        <v>42</v>
      </c>
      <c r="D16" s="71" t="s">
        <v>96</v>
      </c>
      <c r="E16" s="79" t="s">
        <v>118</v>
      </c>
      <c r="F16" s="80">
        <v>46265</v>
      </c>
      <c r="G16" s="79" t="str">
        <f t="shared" ca="1" si="0"/>
        <v>🟢 正常</v>
      </c>
      <c r="H16" s="81" t="s">
        <v>126</v>
      </c>
      <c r="I16" s="82" t="s">
        <v>127</v>
      </c>
    </row>
    <row r="17" spans="1:9" ht="33.75" customHeight="1">
      <c r="A17" s="77" t="s">
        <v>94</v>
      </c>
      <c r="B17" s="35"/>
      <c r="C17" s="78" t="s">
        <v>43</v>
      </c>
      <c r="D17" s="71" t="s">
        <v>96</v>
      </c>
      <c r="E17" s="79" t="s">
        <v>128</v>
      </c>
      <c r="F17" s="80">
        <v>46295</v>
      </c>
      <c r="G17" s="79" t="str">
        <f t="shared" ca="1" si="0"/>
        <v>🟢 正常</v>
      </c>
      <c r="H17" s="81" t="s">
        <v>129</v>
      </c>
      <c r="I17" s="82" t="s">
        <v>130</v>
      </c>
    </row>
    <row r="18" spans="1:9" ht="33.75" customHeight="1">
      <c r="A18" s="84" t="s">
        <v>94</v>
      </c>
      <c r="B18" s="37" t="s">
        <v>44</v>
      </c>
      <c r="C18" s="85" t="s">
        <v>131</v>
      </c>
      <c r="D18" s="71" t="s">
        <v>96</v>
      </c>
      <c r="E18" s="86" t="s">
        <v>132</v>
      </c>
      <c r="F18" s="87">
        <f>甘特圖!$C$2+(-30)</f>
        <v>46464</v>
      </c>
      <c r="G18" s="86" t="str">
        <f t="shared" ca="1" si="0"/>
        <v>🟢 正常</v>
      </c>
      <c r="H18" s="88" t="s">
        <v>133</v>
      </c>
      <c r="I18" s="89" t="s">
        <v>134</v>
      </c>
    </row>
    <row r="19" spans="1:9" ht="33.75" customHeight="1">
      <c r="A19" s="84" t="s">
        <v>94</v>
      </c>
      <c r="B19" s="40"/>
      <c r="C19" s="85" t="s">
        <v>46</v>
      </c>
      <c r="D19" s="71" t="s">
        <v>96</v>
      </c>
      <c r="E19" s="86" t="s">
        <v>135</v>
      </c>
      <c r="F19" s="87">
        <f>甘特圖!$C$2+(0)</f>
        <v>46494</v>
      </c>
      <c r="G19" s="86" t="str">
        <f t="shared" ca="1" si="0"/>
        <v>🟢 正常</v>
      </c>
      <c r="H19" s="88" t="s">
        <v>136</v>
      </c>
      <c r="I19" s="89" t="s">
        <v>134</v>
      </c>
    </row>
    <row r="20" spans="1:9" ht="33.75" customHeight="1">
      <c r="A20" s="90" t="s">
        <v>94</v>
      </c>
      <c r="B20" s="41" t="s">
        <v>47</v>
      </c>
      <c r="C20" s="91" t="s">
        <v>137</v>
      </c>
      <c r="D20" s="92" t="s">
        <v>138</v>
      </c>
      <c r="E20" s="93" t="s">
        <v>112</v>
      </c>
      <c r="F20" s="94">
        <v>46234</v>
      </c>
      <c r="G20" s="93" t="str">
        <f t="shared" ca="1" si="0"/>
        <v>🟢 正常</v>
      </c>
      <c r="H20" s="95" t="s">
        <v>139</v>
      </c>
      <c r="I20" s="96" t="s">
        <v>140</v>
      </c>
    </row>
    <row r="21" spans="1:9" ht="33.75" customHeight="1">
      <c r="A21" s="90" t="s">
        <v>94</v>
      </c>
      <c r="B21" s="45"/>
      <c r="C21" s="91" t="s">
        <v>141</v>
      </c>
      <c r="D21" s="92" t="s">
        <v>138</v>
      </c>
      <c r="E21" s="97" t="s">
        <v>142</v>
      </c>
      <c r="F21" s="94">
        <f>甘特圖!$C$2+(-60)</f>
        <v>46434</v>
      </c>
      <c r="G21" s="97" t="str">
        <f t="shared" ca="1" si="0"/>
        <v>🟢 正常</v>
      </c>
      <c r="H21" s="95" t="s">
        <v>143</v>
      </c>
      <c r="I21" s="98" t="s">
        <v>144</v>
      </c>
    </row>
    <row r="22" spans="1:9" ht="33.75" customHeight="1">
      <c r="A22" s="90" t="s">
        <v>94</v>
      </c>
      <c r="B22" s="45"/>
      <c r="C22" s="91" t="s">
        <v>51</v>
      </c>
      <c r="D22" s="92" t="s">
        <v>138</v>
      </c>
      <c r="E22" s="93" t="s">
        <v>128</v>
      </c>
      <c r="F22" s="94">
        <v>46295</v>
      </c>
      <c r="G22" s="97" t="str">
        <f t="shared" ca="1" si="0"/>
        <v>🟢 正常</v>
      </c>
      <c r="H22" s="95" t="s">
        <v>145</v>
      </c>
      <c r="I22" s="98" t="s">
        <v>146</v>
      </c>
    </row>
    <row r="23" spans="1:9" ht="33.75" customHeight="1">
      <c r="A23" s="90" t="s">
        <v>94</v>
      </c>
      <c r="B23" s="45"/>
      <c r="C23" s="91" t="s">
        <v>147</v>
      </c>
      <c r="D23" s="92" t="s">
        <v>138</v>
      </c>
      <c r="E23" s="93" t="s">
        <v>148</v>
      </c>
      <c r="F23" s="94">
        <v>46326</v>
      </c>
      <c r="G23" s="97" t="str">
        <f t="shared" ca="1" si="0"/>
        <v>🟢 正常</v>
      </c>
      <c r="H23" s="95" t="s">
        <v>149</v>
      </c>
      <c r="I23" s="96" t="s">
        <v>150</v>
      </c>
    </row>
    <row r="24" spans="1:9" ht="33.75" customHeight="1">
      <c r="A24" s="90" t="s">
        <v>94</v>
      </c>
      <c r="B24" s="45"/>
      <c r="C24" s="91" t="s">
        <v>151</v>
      </c>
      <c r="D24" s="92" t="s">
        <v>138</v>
      </c>
      <c r="E24" s="93" t="s">
        <v>148</v>
      </c>
      <c r="F24" s="94">
        <v>46326</v>
      </c>
      <c r="G24" s="97" t="str">
        <f t="shared" ca="1" si="0"/>
        <v>🟢 正常</v>
      </c>
      <c r="H24" s="95" t="s">
        <v>152</v>
      </c>
      <c r="I24" s="96" t="s">
        <v>153</v>
      </c>
    </row>
    <row r="25" spans="1:9" ht="33.75" customHeight="1">
      <c r="A25" s="90" t="s">
        <v>94</v>
      </c>
      <c r="B25" s="45"/>
      <c r="C25" s="91" t="s">
        <v>54</v>
      </c>
      <c r="D25" s="92" t="s">
        <v>138</v>
      </c>
      <c r="E25" s="97" t="s">
        <v>132</v>
      </c>
      <c r="F25" s="94">
        <f>甘特圖!$C$2+(-30)</f>
        <v>46464</v>
      </c>
      <c r="G25" s="97" t="str">
        <f t="shared" ca="1" si="0"/>
        <v>🟢 正常</v>
      </c>
      <c r="H25" s="95" t="s">
        <v>154</v>
      </c>
      <c r="I25" s="96" t="s">
        <v>155</v>
      </c>
    </row>
    <row r="26" spans="1:9" ht="33.75" customHeight="1">
      <c r="A26" s="90" t="s">
        <v>94</v>
      </c>
      <c r="B26" s="45"/>
      <c r="C26" s="91" t="s">
        <v>156</v>
      </c>
      <c r="D26" s="92" t="s">
        <v>138</v>
      </c>
      <c r="E26" s="97" t="s">
        <v>157</v>
      </c>
      <c r="F26" s="94">
        <f>甘特圖!$C$2+(-7)</f>
        <v>46487</v>
      </c>
      <c r="G26" s="97" t="str">
        <f t="shared" ca="1" si="0"/>
        <v>🟢 正常</v>
      </c>
      <c r="H26" s="95" t="s">
        <v>158</v>
      </c>
      <c r="I26" s="98" t="s">
        <v>159</v>
      </c>
    </row>
    <row r="27" spans="1:9" ht="33.75" customHeight="1">
      <c r="A27" s="90" t="s">
        <v>94</v>
      </c>
      <c r="B27" s="45"/>
      <c r="C27" s="91" t="s">
        <v>160</v>
      </c>
      <c r="D27" s="92" t="s">
        <v>138</v>
      </c>
      <c r="E27" s="97" t="s">
        <v>157</v>
      </c>
      <c r="F27" s="94">
        <f>甘特圖!$C$2+(-7)</f>
        <v>46487</v>
      </c>
      <c r="G27" s="97" t="str">
        <f t="shared" ca="1" si="0"/>
        <v>🟢 正常</v>
      </c>
      <c r="H27" s="95" t="s">
        <v>161</v>
      </c>
      <c r="I27" s="98" t="s">
        <v>162</v>
      </c>
    </row>
    <row r="28" spans="1:9" ht="33.75" customHeight="1">
      <c r="A28" s="90" t="s">
        <v>94</v>
      </c>
      <c r="B28" s="45"/>
      <c r="C28" s="91" t="s">
        <v>163</v>
      </c>
      <c r="D28" s="92" t="s">
        <v>138</v>
      </c>
      <c r="E28" s="97" t="s">
        <v>164</v>
      </c>
      <c r="F28" s="94">
        <f>甘特圖!$C$2+(-3)</f>
        <v>46491</v>
      </c>
      <c r="G28" s="97" t="str">
        <f t="shared" ca="1" si="0"/>
        <v>🟢 正常</v>
      </c>
      <c r="H28" s="95" t="s">
        <v>165</v>
      </c>
      <c r="I28" s="98" t="s">
        <v>166</v>
      </c>
    </row>
    <row r="29" spans="1:9" ht="33.75" customHeight="1">
      <c r="A29" s="99" t="s">
        <v>94</v>
      </c>
      <c r="B29" s="46" t="s">
        <v>56</v>
      </c>
      <c r="C29" s="100" t="s">
        <v>167</v>
      </c>
      <c r="D29" s="83" t="s">
        <v>123</v>
      </c>
      <c r="E29" s="101" t="s">
        <v>118</v>
      </c>
      <c r="F29" s="102">
        <v>46265</v>
      </c>
      <c r="G29" s="101" t="str">
        <f t="shared" ca="1" si="0"/>
        <v>🟢 正常</v>
      </c>
      <c r="H29" s="103" t="s">
        <v>168</v>
      </c>
      <c r="I29" s="104" t="s">
        <v>169</v>
      </c>
    </row>
    <row r="30" spans="1:9" ht="33.75" customHeight="1">
      <c r="A30" s="99" t="s">
        <v>94</v>
      </c>
      <c r="B30" s="49"/>
      <c r="C30" s="100" t="s">
        <v>170</v>
      </c>
      <c r="D30" s="83" t="s">
        <v>123</v>
      </c>
      <c r="E30" s="105" t="s">
        <v>171</v>
      </c>
      <c r="F30" s="102">
        <f>甘特圖!$C$2+(-45)</f>
        <v>46449</v>
      </c>
      <c r="G30" s="105" t="str">
        <f t="shared" ca="1" si="0"/>
        <v>🟢 正常</v>
      </c>
      <c r="H30" s="103" t="s">
        <v>172</v>
      </c>
      <c r="I30" s="104" t="s">
        <v>173</v>
      </c>
    </row>
    <row r="31" spans="1:9" ht="33.75" customHeight="1">
      <c r="A31" s="99" t="s">
        <v>94</v>
      </c>
      <c r="B31" s="49"/>
      <c r="C31" s="100" t="s">
        <v>174</v>
      </c>
      <c r="D31" s="83" t="s">
        <v>123</v>
      </c>
      <c r="E31" s="105" t="s">
        <v>142</v>
      </c>
      <c r="F31" s="102">
        <f>甘特圖!$C$2+(-60)</f>
        <v>46434</v>
      </c>
      <c r="G31" s="105" t="str">
        <f t="shared" ca="1" si="0"/>
        <v>🟢 正常</v>
      </c>
      <c r="H31" s="103" t="s">
        <v>175</v>
      </c>
      <c r="I31" s="106" t="s">
        <v>176</v>
      </c>
    </row>
    <row r="32" spans="1:9" ht="33.75" customHeight="1">
      <c r="A32" s="99" t="s">
        <v>94</v>
      </c>
      <c r="B32" s="49"/>
      <c r="C32" s="100" t="s">
        <v>177</v>
      </c>
      <c r="D32" s="83" t="s">
        <v>123</v>
      </c>
      <c r="E32" s="105" t="s">
        <v>142</v>
      </c>
      <c r="F32" s="102">
        <f>甘特圖!$C$2+(-60)</f>
        <v>46434</v>
      </c>
      <c r="G32" s="105" t="str">
        <f t="shared" ca="1" si="0"/>
        <v>🟢 正常</v>
      </c>
      <c r="H32" s="103" t="s">
        <v>178</v>
      </c>
      <c r="I32" s="106" t="s">
        <v>166</v>
      </c>
    </row>
    <row r="33" spans="1:9" ht="33.75" customHeight="1">
      <c r="A33" s="99" t="s">
        <v>94</v>
      </c>
      <c r="B33" s="49"/>
      <c r="C33" s="100" t="s">
        <v>179</v>
      </c>
      <c r="D33" s="83" t="s">
        <v>123</v>
      </c>
      <c r="E33" s="105" t="s">
        <v>157</v>
      </c>
      <c r="F33" s="102">
        <f>甘特圖!$C$2+(-7)</f>
        <v>46487</v>
      </c>
      <c r="G33" s="105" t="str">
        <f t="shared" ca="1" si="0"/>
        <v>🟢 正常</v>
      </c>
      <c r="H33" s="103" t="s">
        <v>180</v>
      </c>
      <c r="I33" s="106" t="s">
        <v>181</v>
      </c>
    </row>
    <row r="34" spans="1:9" ht="33.75" customHeight="1">
      <c r="A34" s="99" t="s">
        <v>94</v>
      </c>
      <c r="B34" s="49"/>
      <c r="C34" s="100" t="s">
        <v>182</v>
      </c>
      <c r="D34" s="83" t="s">
        <v>123</v>
      </c>
      <c r="E34" s="105" t="s">
        <v>132</v>
      </c>
      <c r="F34" s="102">
        <f>甘特圖!$C$2+(-30)</f>
        <v>46464</v>
      </c>
      <c r="G34" s="105" t="str">
        <f t="shared" ca="1" si="0"/>
        <v>🟢 正常</v>
      </c>
      <c r="H34" s="103" t="s">
        <v>183</v>
      </c>
      <c r="I34" s="106"/>
    </row>
    <row r="35" spans="1:9" ht="33.75" customHeight="1">
      <c r="A35" s="107" t="s">
        <v>94</v>
      </c>
      <c r="B35" s="50" t="s">
        <v>61</v>
      </c>
      <c r="C35" s="108" t="s">
        <v>62</v>
      </c>
      <c r="D35" s="71" t="s">
        <v>96</v>
      </c>
      <c r="E35" s="109" t="s">
        <v>128</v>
      </c>
      <c r="F35" s="110">
        <v>46295</v>
      </c>
      <c r="G35" s="109" t="str">
        <f t="shared" ca="1" si="0"/>
        <v>🟢 正常</v>
      </c>
      <c r="H35" s="111" t="s">
        <v>184</v>
      </c>
      <c r="I35" s="112" t="s">
        <v>185</v>
      </c>
    </row>
    <row r="36" spans="1:9" ht="33.75" customHeight="1">
      <c r="A36" s="107" t="s">
        <v>94</v>
      </c>
      <c r="B36" s="53"/>
      <c r="C36" s="108" t="s">
        <v>186</v>
      </c>
      <c r="D36" s="71" t="s">
        <v>96</v>
      </c>
      <c r="E36" s="109" t="s">
        <v>187</v>
      </c>
      <c r="F36" s="110">
        <v>46310</v>
      </c>
      <c r="G36" s="109" t="str">
        <f t="shared" ca="1" si="0"/>
        <v>🟢 正常</v>
      </c>
      <c r="H36" s="111" t="s">
        <v>188</v>
      </c>
      <c r="I36" s="113" t="s">
        <v>189</v>
      </c>
    </row>
    <row r="37" spans="1:9" ht="33.75" customHeight="1">
      <c r="A37" s="107" t="s">
        <v>94</v>
      </c>
      <c r="B37" s="53"/>
      <c r="C37" s="108" t="s">
        <v>190</v>
      </c>
      <c r="D37" s="71" t="s">
        <v>96</v>
      </c>
      <c r="E37" s="109" t="s">
        <v>148</v>
      </c>
      <c r="F37" s="110">
        <v>46326</v>
      </c>
      <c r="G37" s="109" t="str">
        <f t="shared" ref="G37:G68" ca="1" si="1">IF(F37="","",IF(F37&lt;TODAY(),"🔴 逾期",IF(F37-TODAY()&lt;=30,"🟡 即將","🟢 正常")))</f>
        <v>🟢 正常</v>
      </c>
      <c r="H37" s="111"/>
      <c r="I37" s="113" t="s">
        <v>191</v>
      </c>
    </row>
    <row r="38" spans="1:9" ht="33.75" customHeight="1">
      <c r="A38" s="107" t="s">
        <v>94</v>
      </c>
      <c r="B38" s="53"/>
      <c r="C38" s="108" t="s">
        <v>192</v>
      </c>
      <c r="D38" s="71" t="s">
        <v>96</v>
      </c>
      <c r="E38" s="114" t="s">
        <v>193</v>
      </c>
      <c r="F38" s="110">
        <f>甘特圖!$C$2+(-42)</f>
        <v>46452</v>
      </c>
      <c r="G38" s="114" t="str">
        <f t="shared" ca="1" si="1"/>
        <v>🟢 正常</v>
      </c>
      <c r="H38" s="111" t="s">
        <v>194</v>
      </c>
      <c r="I38" s="112" t="s">
        <v>195</v>
      </c>
    </row>
    <row r="39" spans="1:9" ht="33.75" customHeight="1">
      <c r="A39" s="107" t="s">
        <v>94</v>
      </c>
      <c r="B39" s="53"/>
      <c r="C39" s="108" t="s">
        <v>196</v>
      </c>
      <c r="D39" s="71" t="s">
        <v>96</v>
      </c>
      <c r="E39" s="114" t="s">
        <v>132</v>
      </c>
      <c r="F39" s="110">
        <f>甘特圖!$C$2+(-30)</f>
        <v>46464</v>
      </c>
      <c r="G39" s="114" t="str">
        <f t="shared" ca="1" si="1"/>
        <v>🟢 正常</v>
      </c>
      <c r="H39" s="111" t="s">
        <v>197</v>
      </c>
      <c r="I39" s="113" t="s">
        <v>198</v>
      </c>
    </row>
    <row r="40" spans="1:9" ht="33.75" customHeight="1">
      <c r="A40" s="115" t="s">
        <v>94</v>
      </c>
      <c r="B40" s="54" t="s">
        <v>66</v>
      </c>
      <c r="C40" s="116" t="s">
        <v>199</v>
      </c>
      <c r="D40" s="71" t="s">
        <v>96</v>
      </c>
      <c r="E40" s="117" t="s">
        <v>142</v>
      </c>
      <c r="F40" s="118">
        <f>甘特圖!$C$2+(-60)</f>
        <v>46434</v>
      </c>
      <c r="G40" s="117" t="str">
        <f t="shared" ca="1" si="1"/>
        <v>🟢 正常</v>
      </c>
      <c r="H40" s="119" t="s">
        <v>200</v>
      </c>
      <c r="I40" s="120"/>
    </row>
    <row r="41" spans="1:9" ht="33.75" customHeight="1">
      <c r="A41" s="115" t="s">
        <v>94</v>
      </c>
      <c r="B41" s="57"/>
      <c r="C41" s="116" t="s">
        <v>201</v>
      </c>
      <c r="D41" s="71" t="s">
        <v>96</v>
      </c>
      <c r="E41" s="117" t="s">
        <v>202</v>
      </c>
      <c r="F41" s="118">
        <f>甘特圖!$C$2+(-14)</f>
        <v>46480</v>
      </c>
      <c r="G41" s="117" t="str">
        <f t="shared" ca="1" si="1"/>
        <v>🟢 正常</v>
      </c>
      <c r="H41" s="119" t="s">
        <v>203</v>
      </c>
      <c r="I41" s="120" t="s">
        <v>204</v>
      </c>
    </row>
    <row r="42" spans="1:9" ht="33.75" customHeight="1">
      <c r="A42" s="115" t="s">
        <v>94</v>
      </c>
      <c r="B42" s="57"/>
      <c r="C42" s="116" t="s">
        <v>205</v>
      </c>
      <c r="D42" s="71" t="s">
        <v>96</v>
      </c>
      <c r="E42" s="117" t="s">
        <v>202</v>
      </c>
      <c r="F42" s="118">
        <f>甘特圖!$C$2+(-14)</f>
        <v>46480</v>
      </c>
      <c r="G42" s="117" t="str">
        <f t="shared" ca="1" si="1"/>
        <v>🟢 正常</v>
      </c>
      <c r="H42" s="119" t="s">
        <v>206</v>
      </c>
      <c r="I42" s="120" t="s">
        <v>207</v>
      </c>
    </row>
    <row r="43" spans="1:9" ht="33.75" customHeight="1">
      <c r="A43" s="115" t="s">
        <v>94</v>
      </c>
      <c r="B43" s="57"/>
      <c r="C43" s="116" t="s">
        <v>208</v>
      </c>
      <c r="D43" s="71" t="s">
        <v>96</v>
      </c>
      <c r="E43" s="117" t="s">
        <v>132</v>
      </c>
      <c r="F43" s="118">
        <f>甘特圖!$C$2+(-30)</f>
        <v>46464</v>
      </c>
      <c r="G43" s="117" t="str">
        <f t="shared" ca="1" si="1"/>
        <v>🟢 正常</v>
      </c>
      <c r="H43" s="119" t="s">
        <v>209</v>
      </c>
      <c r="I43" s="120" t="s">
        <v>210</v>
      </c>
    </row>
    <row r="44" spans="1:9" ht="33.75" customHeight="1">
      <c r="A44" s="115" t="s">
        <v>94</v>
      </c>
      <c r="B44" s="57"/>
      <c r="C44" s="116" t="s">
        <v>211</v>
      </c>
      <c r="D44" s="71" t="s">
        <v>96</v>
      </c>
      <c r="E44" s="117" t="s">
        <v>202</v>
      </c>
      <c r="F44" s="118">
        <f>甘特圖!$C$2+(-14)</f>
        <v>46480</v>
      </c>
      <c r="G44" s="117" t="str">
        <f t="shared" ca="1" si="1"/>
        <v>🟢 正常</v>
      </c>
      <c r="H44" s="119" t="s">
        <v>212</v>
      </c>
      <c r="I44" s="120"/>
    </row>
    <row r="45" spans="1:9" ht="33.75" customHeight="1">
      <c r="A45" s="121" t="s">
        <v>94</v>
      </c>
      <c r="B45" s="58" t="s">
        <v>70</v>
      </c>
      <c r="C45" s="122" t="s">
        <v>213</v>
      </c>
      <c r="D45" s="71" t="s">
        <v>96</v>
      </c>
      <c r="E45" s="123" t="s">
        <v>132</v>
      </c>
      <c r="F45" s="124">
        <f>甘特圖!$C$2+(-30)</f>
        <v>46464</v>
      </c>
      <c r="G45" s="123" t="str">
        <f t="shared" ca="1" si="1"/>
        <v>🟢 正常</v>
      </c>
      <c r="H45" s="125" t="s">
        <v>214</v>
      </c>
      <c r="I45" s="126"/>
    </row>
    <row r="46" spans="1:9" ht="33.75" customHeight="1">
      <c r="A46" s="121" t="s">
        <v>94</v>
      </c>
      <c r="B46" s="61"/>
      <c r="C46" s="122" t="s">
        <v>215</v>
      </c>
      <c r="D46" s="71" t="s">
        <v>96</v>
      </c>
      <c r="E46" s="123" t="s">
        <v>202</v>
      </c>
      <c r="F46" s="124">
        <f>甘特圖!$C$2+(-14)</f>
        <v>46480</v>
      </c>
      <c r="G46" s="123" t="str">
        <f t="shared" ca="1" si="1"/>
        <v>🟢 正常</v>
      </c>
      <c r="H46" s="125" t="s">
        <v>216</v>
      </c>
      <c r="I46" s="126"/>
    </row>
    <row r="47" spans="1:9" ht="33.75" customHeight="1">
      <c r="A47" s="121" t="s">
        <v>94</v>
      </c>
      <c r="B47" s="61"/>
      <c r="C47" s="122" t="s">
        <v>217</v>
      </c>
      <c r="D47" s="71" t="s">
        <v>96</v>
      </c>
      <c r="E47" s="123" t="s">
        <v>202</v>
      </c>
      <c r="F47" s="124">
        <f>甘特圖!$C$2+(-14)</f>
        <v>46480</v>
      </c>
      <c r="G47" s="123" t="str">
        <f t="shared" ca="1" si="1"/>
        <v>🟢 正常</v>
      </c>
      <c r="H47" s="125" t="s">
        <v>218</v>
      </c>
      <c r="I47" s="126"/>
    </row>
    <row r="48" spans="1:9" ht="33.75" customHeight="1">
      <c r="A48" s="121" t="s">
        <v>94</v>
      </c>
      <c r="B48" s="61"/>
      <c r="C48" s="122" t="s">
        <v>219</v>
      </c>
      <c r="D48" s="71" t="s">
        <v>96</v>
      </c>
      <c r="E48" s="123" t="s">
        <v>202</v>
      </c>
      <c r="F48" s="124">
        <f>甘特圖!$C$2+(-14)</f>
        <v>46480</v>
      </c>
      <c r="G48" s="123" t="str">
        <f t="shared" ca="1" si="1"/>
        <v>🟢 正常</v>
      </c>
      <c r="H48" s="125" t="s">
        <v>220</v>
      </c>
      <c r="I48" s="126"/>
    </row>
    <row r="49" spans="1:9" ht="33.75" customHeight="1">
      <c r="A49" s="121" t="s">
        <v>94</v>
      </c>
      <c r="B49" s="61"/>
      <c r="C49" s="122" t="s">
        <v>221</v>
      </c>
      <c r="D49" s="71" t="s">
        <v>96</v>
      </c>
      <c r="E49" s="123" t="s">
        <v>202</v>
      </c>
      <c r="F49" s="124">
        <f>甘特圖!$C$2+(-14)</f>
        <v>46480</v>
      </c>
      <c r="G49" s="123" t="str">
        <f t="shared" ca="1" si="1"/>
        <v>🟢 正常</v>
      </c>
      <c r="H49" s="125" t="s">
        <v>222</v>
      </c>
      <c r="I49" s="126"/>
    </row>
    <row r="50" spans="1:9" ht="33.75" customHeight="1">
      <c r="A50" s="127" t="s">
        <v>94</v>
      </c>
      <c r="B50" s="62" t="s">
        <v>75</v>
      </c>
      <c r="C50" s="128" t="s">
        <v>223</v>
      </c>
      <c r="D50" s="71" t="s">
        <v>96</v>
      </c>
      <c r="E50" s="129" t="s">
        <v>135</v>
      </c>
      <c r="F50" s="130">
        <f>甘特圖!$C$2+(0)</f>
        <v>46494</v>
      </c>
      <c r="G50" s="129" t="str">
        <f t="shared" ca="1" si="1"/>
        <v>🟢 正常</v>
      </c>
      <c r="H50" s="131" t="s">
        <v>224</v>
      </c>
      <c r="I50" s="132"/>
    </row>
    <row r="51" spans="1:9" ht="33.75" customHeight="1">
      <c r="A51" s="133" t="s">
        <v>94</v>
      </c>
      <c r="B51" s="65" t="s">
        <v>77</v>
      </c>
      <c r="C51" s="134" t="s">
        <v>78</v>
      </c>
      <c r="D51" s="71" t="s">
        <v>96</v>
      </c>
      <c r="E51" s="135" t="s">
        <v>225</v>
      </c>
      <c r="F51" s="136">
        <f>甘特圖!$C$2+(7)</f>
        <v>46501</v>
      </c>
      <c r="G51" s="135" t="str">
        <f t="shared" ca="1" si="1"/>
        <v>🟢 正常</v>
      </c>
      <c r="H51" s="137" t="s">
        <v>226</v>
      </c>
      <c r="I51" s="138" t="s">
        <v>130</v>
      </c>
    </row>
    <row r="52" spans="1:9" ht="33.75" customHeight="1">
      <c r="A52" s="133" t="s">
        <v>94</v>
      </c>
      <c r="B52" s="68"/>
      <c r="C52" s="134" t="s">
        <v>79</v>
      </c>
      <c r="D52" s="71" t="s">
        <v>96</v>
      </c>
      <c r="E52" s="135" t="s">
        <v>227</v>
      </c>
      <c r="F52" s="136">
        <f>甘特圖!$C$2+(3)</f>
        <v>46497</v>
      </c>
      <c r="G52" s="135" t="str">
        <f t="shared" ca="1" si="1"/>
        <v>🟢 正常</v>
      </c>
      <c r="H52" s="137" t="s">
        <v>228</v>
      </c>
      <c r="I52" s="138"/>
    </row>
    <row r="53" spans="1:9" ht="33.75" customHeight="1">
      <c r="A53" s="133" t="s">
        <v>94</v>
      </c>
      <c r="B53" s="68"/>
      <c r="C53" s="134" t="s">
        <v>229</v>
      </c>
      <c r="D53" s="83" t="s">
        <v>123</v>
      </c>
      <c r="E53" s="135" t="s">
        <v>230</v>
      </c>
      <c r="F53" s="136">
        <f>甘特圖!$C$2+(30)</f>
        <v>46524</v>
      </c>
      <c r="G53" s="135" t="str">
        <f t="shared" ca="1" si="1"/>
        <v>🟢 正常</v>
      </c>
      <c r="H53" s="137" t="s">
        <v>231</v>
      </c>
      <c r="I53" s="138" t="s">
        <v>134</v>
      </c>
    </row>
    <row r="54" spans="1:9" ht="33.75" customHeight="1">
      <c r="A54" s="133" t="s">
        <v>94</v>
      </c>
      <c r="B54" s="68"/>
      <c r="C54" s="134" t="s">
        <v>232</v>
      </c>
      <c r="D54" s="83" t="s">
        <v>123</v>
      </c>
      <c r="E54" s="135" t="s">
        <v>233</v>
      </c>
      <c r="F54" s="136">
        <f>甘特圖!$C$2+(60)</f>
        <v>46554</v>
      </c>
      <c r="G54" s="135" t="str">
        <f t="shared" ca="1" si="1"/>
        <v>🟢 正常</v>
      </c>
      <c r="H54" s="137" t="s">
        <v>234</v>
      </c>
      <c r="I54" s="139" t="s">
        <v>235</v>
      </c>
    </row>
    <row r="55" spans="1:9" ht="33.75" customHeight="1">
      <c r="A55" s="133" t="s">
        <v>94</v>
      </c>
      <c r="B55" s="68"/>
      <c r="C55" s="134" t="s">
        <v>236</v>
      </c>
      <c r="D55" s="71" t="s">
        <v>96</v>
      </c>
      <c r="E55" s="135" t="s">
        <v>230</v>
      </c>
      <c r="F55" s="136">
        <f>甘特圖!$C$2+(30)</f>
        <v>46524</v>
      </c>
      <c r="G55" s="135" t="str">
        <f t="shared" ca="1" si="1"/>
        <v>🟢 正常</v>
      </c>
      <c r="H55" s="137" t="s">
        <v>237</v>
      </c>
      <c r="I55" s="139" t="s">
        <v>238</v>
      </c>
    </row>
    <row r="56" spans="1:9" ht="33.75" customHeight="1">
      <c r="A56" s="133" t="s">
        <v>94</v>
      </c>
      <c r="B56" s="68"/>
      <c r="C56" s="134" t="s">
        <v>239</v>
      </c>
      <c r="D56" s="71" t="s">
        <v>96</v>
      </c>
      <c r="E56" s="135" t="s">
        <v>240</v>
      </c>
      <c r="F56" s="136">
        <f>甘特圖!$C$2+(75)</f>
        <v>46569</v>
      </c>
      <c r="G56" s="135" t="str">
        <f t="shared" ca="1" si="1"/>
        <v>🟢 正常</v>
      </c>
      <c r="H56" s="137" t="s">
        <v>241</v>
      </c>
      <c r="I56" s="139" t="s">
        <v>242</v>
      </c>
    </row>
  </sheetData>
  <mergeCells count="3">
    <mergeCell ref="A1:I1"/>
    <mergeCell ref="A2:I2"/>
    <mergeCell ref="A3:I3"/>
  </mergeCells>
  <phoneticPr fontId="49" type="noConversion"/>
  <conditionalFormatting sqref="A5:I56">
    <cfRule type="expression" dxfId="5" priority="2">
      <formula>AND($F5&lt;TODAY(),$F5&lt;&gt;"")</formula>
    </cfRule>
    <cfRule type="expression" dxfId="4" priority="3">
      <formula>AND($F5&gt;=TODAY(),$F5-TODAY()&lt;=30,$F5&lt;&gt;"")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zoomScaleNormal="100" workbookViewId="0">
      <selection activeCell="F4" sqref="F4"/>
    </sheetView>
  </sheetViews>
  <sheetFormatPr defaultColWidth="8.6640625" defaultRowHeight="14.4"/>
  <cols>
    <col min="1" max="1" width="5" customWidth="1"/>
    <col min="2" max="2" width="12" customWidth="1"/>
    <col min="3" max="3" width="28" customWidth="1"/>
    <col min="4" max="4" width="36" customWidth="1"/>
    <col min="5" max="5" width="14" customWidth="1"/>
    <col min="6" max="6" width="13" customWidth="1"/>
    <col min="7" max="7" width="9" customWidth="1"/>
    <col min="8" max="8" width="16" customWidth="1"/>
  </cols>
  <sheetData>
    <row r="1" spans="1:8" ht="30" customHeight="1">
      <c r="A1" s="6" t="s">
        <v>243</v>
      </c>
      <c r="B1" s="6"/>
      <c r="C1" s="6"/>
      <c r="D1" s="6"/>
      <c r="E1" s="6"/>
      <c r="F1" s="6"/>
      <c r="G1" s="6"/>
      <c r="H1" s="6"/>
    </row>
    <row r="2" spans="1:8" ht="15.75" customHeight="1">
      <c r="A2" s="5" t="s">
        <v>244</v>
      </c>
      <c r="B2" s="5"/>
      <c r="C2" s="5"/>
      <c r="D2" s="5"/>
      <c r="E2" s="5"/>
      <c r="F2" s="5"/>
      <c r="G2" s="5"/>
      <c r="H2" s="5"/>
    </row>
    <row r="3" spans="1:8" ht="21.75" customHeight="1">
      <c r="A3" s="140" t="s">
        <v>86</v>
      </c>
      <c r="B3" s="140" t="s">
        <v>10</v>
      </c>
      <c r="C3" s="140" t="s">
        <v>245</v>
      </c>
      <c r="D3" s="140" t="s">
        <v>246</v>
      </c>
      <c r="E3" s="140" t="s">
        <v>247</v>
      </c>
      <c r="F3" s="140" t="s">
        <v>90</v>
      </c>
      <c r="G3" s="140" t="s">
        <v>91</v>
      </c>
      <c r="H3" s="140" t="s">
        <v>93</v>
      </c>
    </row>
    <row r="4" spans="1:8" ht="31.5" customHeight="1">
      <c r="A4" s="141" t="s">
        <v>94</v>
      </c>
      <c r="B4" s="142" t="s">
        <v>248</v>
      </c>
      <c r="C4" s="143" t="s">
        <v>249</v>
      </c>
      <c r="D4" s="144" t="s">
        <v>250</v>
      </c>
      <c r="E4" s="145" t="s">
        <v>251</v>
      </c>
      <c r="F4" s="146">
        <v>46172</v>
      </c>
      <c r="G4" s="145" t="str">
        <f t="shared" ref="G4:G21" ca="1" si="0">IF(F4="","",IF(F4&lt;TODAY(),"🔴 逾期",IF(F4-TODAY()&lt;=30,"🟡 即將","🟢 正常")))</f>
        <v>🟡 即將</v>
      </c>
      <c r="H4" s="147"/>
    </row>
    <row r="5" spans="1:8" ht="31.5" customHeight="1">
      <c r="A5" s="141" t="s">
        <v>94</v>
      </c>
      <c r="B5" s="148"/>
      <c r="C5" s="143" t="s">
        <v>252</v>
      </c>
      <c r="D5" s="144" t="s">
        <v>253</v>
      </c>
      <c r="E5" s="145" t="s">
        <v>251</v>
      </c>
      <c r="F5" s="146">
        <v>46203</v>
      </c>
      <c r="G5" s="145" t="str">
        <f t="shared" ca="1" si="0"/>
        <v>🟢 正常</v>
      </c>
      <c r="H5" s="147"/>
    </row>
    <row r="6" spans="1:8" ht="31.5" customHeight="1">
      <c r="A6" s="141" t="s">
        <v>94</v>
      </c>
      <c r="B6" s="142" t="s">
        <v>254</v>
      </c>
      <c r="C6" s="143" t="s">
        <v>48</v>
      </c>
      <c r="D6" s="144" t="s">
        <v>255</v>
      </c>
      <c r="E6" s="145" t="s">
        <v>251</v>
      </c>
      <c r="F6" s="146">
        <v>46234</v>
      </c>
      <c r="G6" s="145" t="str">
        <f t="shared" ca="1" si="0"/>
        <v>🟢 正常</v>
      </c>
      <c r="H6" s="149" t="s">
        <v>140</v>
      </c>
    </row>
    <row r="7" spans="1:8" ht="31.5" customHeight="1">
      <c r="A7" s="141" t="s">
        <v>94</v>
      </c>
      <c r="B7" s="148"/>
      <c r="C7" s="143" t="s">
        <v>256</v>
      </c>
      <c r="D7" s="144" t="s">
        <v>257</v>
      </c>
      <c r="E7" s="145" t="s">
        <v>142</v>
      </c>
      <c r="F7" s="146">
        <f>甘特圖!$C$2+(-60)</f>
        <v>46434</v>
      </c>
      <c r="G7" s="145" t="str">
        <f t="shared" ca="1" si="0"/>
        <v>🟢 正常</v>
      </c>
      <c r="H7" s="147" t="s">
        <v>144</v>
      </c>
    </row>
    <row r="8" spans="1:8" ht="31.5" customHeight="1">
      <c r="A8" s="141" t="s">
        <v>94</v>
      </c>
      <c r="B8" s="148"/>
      <c r="C8" s="143" t="s">
        <v>258</v>
      </c>
      <c r="D8" s="144" t="s">
        <v>259</v>
      </c>
      <c r="E8" s="145" t="s">
        <v>142</v>
      </c>
      <c r="F8" s="146">
        <f>甘特圖!$C$2+(-60)</f>
        <v>46434</v>
      </c>
      <c r="G8" s="145" t="str">
        <f t="shared" ca="1" si="0"/>
        <v>🟢 正常</v>
      </c>
      <c r="H8" s="147" t="s">
        <v>242</v>
      </c>
    </row>
    <row r="9" spans="1:8" ht="31.5" customHeight="1">
      <c r="A9" s="141" t="s">
        <v>94</v>
      </c>
      <c r="B9" s="142" t="s">
        <v>260</v>
      </c>
      <c r="C9" s="143" t="s">
        <v>51</v>
      </c>
      <c r="D9" s="144" t="s">
        <v>261</v>
      </c>
      <c r="E9" s="145" t="s">
        <v>251</v>
      </c>
      <c r="F9" s="146">
        <v>46295</v>
      </c>
      <c r="G9" s="145" t="str">
        <f t="shared" ca="1" si="0"/>
        <v>🟢 正常</v>
      </c>
      <c r="H9" s="147" t="s">
        <v>146</v>
      </c>
    </row>
    <row r="10" spans="1:8" ht="31.5" customHeight="1">
      <c r="A10" s="141" t="s">
        <v>94</v>
      </c>
      <c r="B10" s="142" t="s">
        <v>262</v>
      </c>
      <c r="C10" s="143" t="s">
        <v>263</v>
      </c>
      <c r="D10" s="144" t="s">
        <v>264</v>
      </c>
      <c r="E10" s="145" t="s">
        <v>251</v>
      </c>
      <c r="F10" s="146">
        <v>46265</v>
      </c>
      <c r="G10" s="145" t="str">
        <f t="shared" ca="1" si="0"/>
        <v>🟢 正常</v>
      </c>
      <c r="H10" s="149" t="s">
        <v>153</v>
      </c>
    </row>
    <row r="11" spans="1:8" ht="31.5" customHeight="1">
      <c r="A11" s="141" t="s">
        <v>94</v>
      </c>
      <c r="B11" s="148"/>
      <c r="C11" s="143" t="s">
        <v>265</v>
      </c>
      <c r="D11" s="144" t="s">
        <v>266</v>
      </c>
      <c r="E11" s="145" t="s">
        <v>251</v>
      </c>
      <c r="F11" s="146">
        <v>46326</v>
      </c>
      <c r="G11" s="145" t="str">
        <f t="shared" ca="1" si="0"/>
        <v>🟢 正常</v>
      </c>
      <c r="H11" s="149" t="s">
        <v>153</v>
      </c>
    </row>
    <row r="12" spans="1:8" ht="31.5" customHeight="1">
      <c r="A12" s="141" t="s">
        <v>94</v>
      </c>
      <c r="B12" s="142" t="s">
        <v>267</v>
      </c>
      <c r="C12" s="143" t="s">
        <v>54</v>
      </c>
      <c r="D12" s="144" t="s">
        <v>154</v>
      </c>
      <c r="E12" s="145" t="s">
        <v>132</v>
      </c>
      <c r="F12" s="146">
        <f>甘特圖!$C$2+(-30)</f>
        <v>46464</v>
      </c>
      <c r="G12" s="145" t="str">
        <f t="shared" ca="1" si="0"/>
        <v>🟢 正常</v>
      </c>
      <c r="H12" s="149" t="s">
        <v>155</v>
      </c>
    </row>
    <row r="13" spans="1:8" ht="31.5" customHeight="1">
      <c r="A13" s="141" t="s">
        <v>94</v>
      </c>
      <c r="B13" s="148"/>
      <c r="C13" s="143" t="s">
        <v>156</v>
      </c>
      <c r="D13" s="144" t="s">
        <v>158</v>
      </c>
      <c r="E13" s="145" t="s">
        <v>157</v>
      </c>
      <c r="F13" s="146">
        <f>甘特圖!$C$2+(-7)</f>
        <v>46487</v>
      </c>
      <c r="G13" s="145" t="str">
        <f t="shared" ca="1" si="0"/>
        <v>🟢 正常</v>
      </c>
      <c r="H13" s="147" t="s">
        <v>159</v>
      </c>
    </row>
    <row r="14" spans="1:8" ht="31.5" customHeight="1">
      <c r="A14" s="141" t="s">
        <v>94</v>
      </c>
      <c r="B14" s="148"/>
      <c r="C14" s="143" t="s">
        <v>160</v>
      </c>
      <c r="D14" s="144" t="s">
        <v>161</v>
      </c>
      <c r="E14" s="145" t="s">
        <v>157</v>
      </c>
      <c r="F14" s="146">
        <f>甘特圖!$C$2+(-7)</f>
        <v>46487</v>
      </c>
      <c r="G14" s="145" t="str">
        <f t="shared" ca="1" si="0"/>
        <v>🟢 正常</v>
      </c>
      <c r="H14" s="147" t="s">
        <v>162</v>
      </c>
    </row>
    <row r="15" spans="1:8" ht="31.5" customHeight="1">
      <c r="A15" s="141" t="s">
        <v>94</v>
      </c>
      <c r="B15" s="148"/>
      <c r="C15" s="143" t="s">
        <v>268</v>
      </c>
      <c r="D15" s="144" t="s">
        <v>269</v>
      </c>
      <c r="E15" s="145" t="s">
        <v>157</v>
      </c>
      <c r="F15" s="146">
        <f>甘特圖!$C$2+(-7)</f>
        <v>46487</v>
      </c>
      <c r="G15" s="145" t="str">
        <f t="shared" ca="1" si="0"/>
        <v>🟢 正常</v>
      </c>
      <c r="H15" s="147" t="s">
        <v>270</v>
      </c>
    </row>
    <row r="16" spans="1:8" ht="31.5" customHeight="1">
      <c r="A16" s="141" t="s">
        <v>94</v>
      </c>
      <c r="B16" s="148"/>
      <c r="C16" s="143" t="s">
        <v>163</v>
      </c>
      <c r="D16" s="144" t="s">
        <v>165</v>
      </c>
      <c r="E16" s="145" t="s">
        <v>164</v>
      </c>
      <c r="F16" s="146">
        <f>甘特圖!$C$2+(-3)</f>
        <v>46491</v>
      </c>
      <c r="G16" s="145" t="str">
        <f t="shared" ca="1" si="0"/>
        <v>🟢 正常</v>
      </c>
      <c r="H16" s="147" t="s">
        <v>166</v>
      </c>
    </row>
    <row r="17" spans="1:8" ht="31.5" customHeight="1">
      <c r="A17" s="141" t="s">
        <v>94</v>
      </c>
      <c r="B17" s="142" t="s">
        <v>271</v>
      </c>
      <c r="C17" s="143" t="s">
        <v>272</v>
      </c>
      <c r="D17" s="144" t="s">
        <v>273</v>
      </c>
      <c r="E17" s="145" t="s">
        <v>202</v>
      </c>
      <c r="F17" s="146">
        <f>甘特圖!$C$2+(-14)</f>
        <v>46480</v>
      </c>
      <c r="G17" s="145" t="str">
        <f t="shared" ca="1" si="0"/>
        <v>🟢 正常</v>
      </c>
      <c r="H17" s="147"/>
    </row>
    <row r="18" spans="1:8" ht="31.5" customHeight="1">
      <c r="A18" s="141" t="s">
        <v>94</v>
      </c>
      <c r="B18" s="142" t="s">
        <v>274</v>
      </c>
      <c r="C18" s="143" t="s">
        <v>275</v>
      </c>
      <c r="D18" s="144" t="s">
        <v>276</v>
      </c>
      <c r="E18" s="145" t="s">
        <v>251</v>
      </c>
      <c r="F18" s="146">
        <v>46326</v>
      </c>
      <c r="G18" s="145" t="str">
        <f t="shared" ca="1" si="0"/>
        <v>🟢 正常</v>
      </c>
      <c r="H18" s="149" t="s">
        <v>150</v>
      </c>
    </row>
    <row r="19" spans="1:8" ht="31.5" customHeight="1">
      <c r="A19" s="141" t="s">
        <v>94</v>
      </c>
      <c r="B19" s="142" t="s">
        <v>277</v>
      </c>
      <c r="C19" s="143" t="s">
        <v>278</v>
      </c>
      <c r="D19" s="144" t="s">
        <v>279</v>
      </c>
      <c r="E19" s="145" t="s">
        <v>251</v>
      </c>
      <c r="F19" s="146">
        <v>46234</v>
      </c>
      <c r="G19" s="145" t="str">
        <f t="shared" ca="1" si="0"/>
        <v>🟢 正常</v>
      </c>
      <c r="H19" s="147"/>
    </row>
    <row r="20" spans="1:8" ht="31.5" customHeight="1">
      <c r="A20" s="141" t="s">
        <v>94</v>
      </c>
      <c r="B20" s="148"/>
      <c r="C20" s="143" t="s">
        <v>280</v>
      </c>
      <c r="D20" s="144" t="s">
        <v>281</v>
      </c>
      <c r="E20" s="145" t="s">
        <v>251</v>
      </c>
      <c r="F20" s="146">
        <v>46265</v>
      </c>
      <c r="G20" s="145" t="str">
        <f t="shared" ca="1" si="0"/>
        <v>🟢 正常</v>
      </c>
      <c r="H20" s="147"/>
    </row>
    <row r="21" spans="1:8" ht="31.5" customHeight="1">
      <c r="A21" s="141" t="s">
        <v>94</v>
      </c>
      <c r="B21" s="148"/>
      <c r="C21" s="143" t="s">
        <v>282</v>
      </c>
      <c r="D21" s="144" t="s">
        <v>283</v>
      </c>
      <c r="E21" s="145" t="s">
        <v>251</v>
      </c>
      <c r="F21" s="146">
        <v>46326</v>
      </c>
      <c r="G21" s="145" t="str">
        <f t="shared" ca="1" si="0"/>
        <v>🟢 正常</v>
      </c>
      <c r="H21" s="147"/>
    </row>
  </sheetData>
  <mergeCells count="2">
    <mergeCell ref="A1:H1"/>
    <mergeCell ref="A2:H2"/>
  </mergeCells>
  <phoneticPr fontId="49" type="noConversion"/>
  <conditionalFormatting sqref="A4:H21">
    <cfRule type="expression" dxfId="3" priority="2">
      <formula>AND($F4&lt;TODAY(),$F4&lt;&gt;"")</formula>
    </cfRule>
    <cfRule type="expression" dxfId="2" priority="3">
      <formula>AND($F4&gt;=TODAY(),$F4-TODAY()&lt;=30,$F4&lt;&gt;"")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showGridLines="0" zoomScaleNormal="100" workbookViewId="0">
      <selection sqref="A1:H1"/>
    </sheetView>
  </sheetViews>
  <sheetFormatPr defaultColWidth="8.6640625" defaultRowHeight="14.4"/>
  <cols>
    <col min="1" max="1" width="5" customWidth="1"/>
    <col min="2" max="2" width="12" customWidth="1"/>
    <col min="3" max="3" width="28" customWidth="1"/>
    <col min="4" max="4" width="36" customWidth="1"/>
    <col min="5" max="5" width="14" customWidth="1"/>
    <col min="6" max="6" width="13" customWidth="1"/>
    <col min="7" max="7" width="9" customWidth="1"/>
    <col min="8" max="8" width="16" customWidth="1"/>
  </cols>
  <sheetData>
    <row r="1" spans="1:8" ht="30" customHeight="1">
      <c r="A1" s="4" t="s">
        <v>284</v>
      </c>
      <c r="B1" s="4"/>
      <c r="C1" s="4"/>
      <c r="D1" s="4"/>
      <c r="E1" s="4"/>
      <c r="F1" s="4"/>
      <c r="G1" s="4"/>
      <c r="H1" s="4"/>
    </row>
    <row r="2" spans="1:8" ht="15.75" customHeight="1">
      <c r="A2" s="5" t="s">
        <v>244</v>
      </c>
      <c r="B2" s="5"/>
      <c r="C2" s="5"/>
      <c r="D2" s="5"/>
      <c r="E2" s="5"/>
      <c r="F2" s="5"/>
      <c r="G2" s="5"/>
      <c r="H2" s="5"/>
    </row>
    <row r="3" spans="1:8" ht="21.75" customHeight="1">
      <c r="A3" s="150" t="s">
        <v>86</v>
      </c>
      <c r="B3" s="150" t="s">
        <v>10</v>
      </c>
      <c r="C3" s="150" t="s">
        <v>245</v>
      </c>
      <c r="D3" s="150" t="s">
        <v>246</v>
      </c>
      <c r="E3" s="150" t="s">
        <v>247</v>
      </c>
      <c r="F3" s="150" t="s">
        <v>90</v>
      </c>
      <c r="G3" s="150" t="s">
        <v>91</v>
      </c>
      <c r="H3" s="150" t="s">
        <v>93</v>
      </c>
    </row>
    <row r="4" spans="1:8" ht="31.5" customHeight="1">
      <c r="A4" s="141" t="s">
        <v>94</v>
      </c>
      <c r="B4" s="142" t="s">
        <v>285</v>
      </c>
      <c r="C4" s="143" t="s">
        <v>167</v>
      </c>
      <c r="D4" s="144" t="s">
        <v>168</v>
      </c>
      <c r="E4" s="145" t="s">
        <v>251</v>
      </c>
      <c r="F4" s="146">
        <v>46265</v>
      </c>
      <c r="G4" s="145" t="str">
        <f t="shared" ref="G4:G20" ca="1" si="0">IF(F4="","",IF(F4&lt;TODAY(),"🔴 逾期",IF(F4-TODAY()&lt;=30,"🟡 即將","🟢 正常")))</f>
        <v>🟢 正常</v>
      </c>
      <c r="H4" s="149" t="s">
        <v>169</v>
      </c>
    </row>
    <row r="5" spans="1:8" ht="31.5" customHeight="1">
      <c r="A5" s="141" t="s">
        <v>94</v>
      </c>
      <c r="B5" s="148"/>
      <c r="C5" s="143" t="s">
        <v>286</v>
      </c>
      <c r="D5" s="144" t="s">
        <v>287</v>
      </c>
      <c r="E5" s="145" t="s">
        <v>251</v>
      </c>
      <c r="F5" s="146">
        <v>46265</v>
      </c>
      <c r="G5" s="145" t="str">
        <f t="shared" ca="1" si="0"/>
        <v>🟢 正常</v>
      </c>
      <c r="H5" s="147" t="s">
        <v>288</v>
      </c>
    </row>
    <row r="6" spans="1:8" ht="31.5" customHeight="1">
      <c r="A6" s="141" t="s">
        <v>94</v>
      </c>
      <c r="B6" s="148"/>
      <c r="C6" s="143" t="s">
        <v>170</v>
      </c>
      <c r="D6" s="144" t="s">
        <v>172</v>
      </c>
      <c r="E6" s="145" t="s">
        <v>171</v>
      </c>
      <c r="F6" s="146">
        <f>甘特圖!$C$2+(-45)</f>
        <v>46449</v>
      </c>
      <c r="G6" s="145" t="str">
        <f t="shared" ca="1" si="0"/>
        <v>🟢 正常</v>
      </c>
      <c r="H6" s="149" t="s">
        <v>173</v>
      </c>
    </row>
    <row r="7" spans="1:8" ht="31.5" customHeight="1">
      <c r="A7" s="141" t="s">
        <v>94</v>
      </c>
      <c r="B7" s="148"/>
      <c r="C7" s="143" t="s">
        <v>289</v>
      </c>
      <c r="D7" s="144" t="s">
        <v>290</v>
      </c>
      <c r="E7" s="145" t="s">
        <v>132</v>
      </c>
      <c r="F7" s="146">
        <f>甘特圖!$C$2+(-30)</f>
        <v>46464</v>
      </c>
      <c r="G7" s="145" t="str">
        <f t="shared" ca="1" si="0"/>
        <v>🟢 正常</v>
      </c>
      <c r="H7" s="147"/>
    </row>
    <row r="8" spans="1:8" ht="31.5" customHeight="1">
      <c r="A8" s="141" t="s">
        <v>94</v>
      </c>
      <c r="B8" s="142" t="s">
        <v>291</v>
      </c>
      <c r="C8" s="143" t="s">
        <v>292</v>
      </c>
      <c r="D8" s="144" t="s">
        <v>293</v>
      </c>
      <c r="E8" s="145" t="s">
        <v>251</v>
      </c>
      <c r="F8" s="146">
        <v>46265</v>
      </c>
      <c r="G8" s="145" t="str">
        <f t="shared" ca="1" si="0"/>
        <v>🟢 正常</v>
      </c>
      <c r="H8" s="147"/>
    </row>
    <row r="9" spans="1:8" ht="31.5" customHeight="1">
      <c r="A9" s="141" t="s">
        <v>94</v>
      </c>
      <c r="B9" s="148"/>
      <c r="C9" s="143" t="s">
        <v>294</v>
      </c>
      <c r="D9" s="144" t="s">
        <v>295</v>
      </c>
      <c r="E9" s="145" t="s">
        <v>142</v>
      </c>
      <c r="F9" s="146">
        <f>甘特圖!$C$2+(-60)</f>
        <v>46434</v>
      </c>
      <c r="G9" s="145" t="str">
        <f t="shared" ca="1" si="0"/>
        <v>🟢 正常</v>
      </c>
      <c r="H9" s="147" t="s">
        <v>242</v>
      </c>
    </row>
    <row r="10" spans="1:8" ht="31.5" customHeight="1">
      <c r="A10" s="141" t="s">
        <v>94</v>
      </c>
      <c r="B10" s="148"/>
      <c r="C10" s="143" t="s">
        <v>296</v>
      </c>
      <c r="D10" s="144" t="s">
        <v>297</v>
      </c>
      <c r="E10" s="145" t="s">
        <v>142</v>
      </c>
      <c r="F10" s="146">
        <f>甘特圖!$C$2+(-60)</f>
        <v>46434</v>
      </c>
      <c r="G10" s="145" t="str">
        <f t="shared" ca="1" si="0"/>
        <v>🟢 正常</v>
      </c>
      <c r="H10" s="147" t="s">
        <v>162</v>
      </c>
    </row>
    <row r="11" spans="1:8" ht="31.5" customHeight="1">
      <c r="A11" s="141" t="s">
        <v>94</v>
      </c>
      <c r="B11" s="148"/>
      <c r="C11" s="143" t="s">
        <v>298</v>
      </c>
      <c r="D11" s="144" t="s">
        <v>178</v>
      </c>
      <c r="E11" s="145" t="s">
        <v>142</v>
      </c>
      <c r="F11" s="146">
        <f>甘特圖!$C$2+(-60)</f>
        <v>46434</v>
      </c>
      <c r="G11" s="145" t="str">
        <f t="shared" ca="1" si="0"/>
        <v>🟢 正常</v>
      </c>
      <c r="H11" s="147" t="s">
        <v>166</v>
      </c>
    </row>
    <row r="12" spans="1:8" ht="31.5" customHeight="1">
      <c r="A12" s="141" t="s">
        <v>94</v>
      </c>
      <c r="B12" s="142" t="s">
        <v>299</v>
      </c>
      <c r="C12" s="143" t="s">
        <v>300</v>
      </c>
      <c r="D12" s="144" t="s">
        <v>183</v>
      </c>
      <c r="E12" s="145" t="s">
        <v>132</v>
      </c>
      <c r="F12" s="146">
        <f>甘特圖!$C$2+(-30)</f>
        <v>46464</v>
      </c>
      <c r="G12" s="145" t="str">
        <f t="shared" ca="1" si="0"/>
        <v>🟢 正常</v>
      </c>
      <c r="H12" s="147"/>
    </row>
    <row r="13" spans="1:8" ht="31.5" customHeight="1">
      <c r="A13" s="141" t="s">
        <v>94</v>
      </c>
      <c r="B13" s="148"/>
      <c r="C13" s="143" t="s">
        <v>179</v>
      </c>
      <c r="D13" s="144" t="s">
        <v>180</v>
      </c>
      <c r="E13" s="145" t="s">
        <v>157</v>
      </c>
      <c r="F13" s="146">
        <f>甘特圖!$C$2+(-7)</f>
        <v>46487</v>
      </c>
      <c r="G13" s="145" t="str">
        <f t="shared" ca="1" si="0"/>
        <v>🟢 正常</v>
      </c>
      <c r="H13" s="147" t="s">
        <v>181</v>
      </c>
    </row>
    <row r="14" spans="1:8" ht="31.5" customHeight="1">
      <c r="A14" s="141" t="s">
        <v>94</v>
      </c>
      <c r="B14" s="148"/>
      <c r="C14" s="143" t="s">
        <v>301</v>
      </c>
      <c r="D14" s="144" t="s">
        <v>302</v>
      </c>
      <c r="E14" s="145" t="s">
        <v>135</v>
      </c>
      <c r="F14" s="146">
        <f>甘特圖!$C$2+(0)</f>
        <v>46494</v>
      </c>
      <c r="G14" s="145" t="str">
        <f t="shared" ca="1" si="0"/>
        <v>🟢 正常</v>
      </c>
      <c r="H14" s="147"/>
    </row>
    <row r="15" spans="1:8" ht="31.5" customHeight="1">
      <c r="A15" s="141" t="s">
        <v>94</v>
      </c>
      <c r="B15" s="148"/>
      <c r="C15" s="143" t="s">
        <v>303</v>
      </c>
      <c r="D15" s="144" t="s">
        <v>304</v>
      </c>
      <c r="E15" s="145" t="s">
        <v>135</v>
      </c>
      <c r="F15" s="146">
        <f>甘特圖!$C$2+(0)</f>
        <v>46494</v>
      </c>
      <c r="G15" s="145" t="str">
        <f t="shared" ca="1" si="0"/>
        <v>🟢 正常</v>
      </c>
      <c r="H15" s="147"/>
    </row>
    <row r="16" spans="1:8" ht="31.5" customHeight="1">
      <c r="A16" s="141" t="s">
        <v>94</v>
      </c>
      <c r="B16" s="142" t="s">
        <v>305</v>
      </c>
      <c r="C16" s="143" t="s">
        <v>306</v>
      </c>
      <c r="D16" s="144" t="s">
        <v>307</v>
      </c>
      <c r="E16" s="145" t="s">
        <v>308</v>
      </c>
      <c r="F16" s="146">
        <f>甘特圖!$C$2+(3)</f>
        <v>46497</v>
      </c>
      <c r="G16" s="145" t="str">
        <f t="shared" ca="1" si="0"/>
        <v>🟢 正常</v>
      </c>
      <c r="H16" s="147"/>
    </row>
    <row r="17" spans="1:8" ht="31.5" customHeight="1">
      <c r="A17" s="141" t="s">
        <v>94</v>
      </c>
      <c r="B17" s="148"/>
      <c r="C17" s="143" t="s">
        <v>309</v>
      </c>
      <c r="D17" s="144" t="s">
        <v>310</v>
      </c>
      <c r="E17" s="145" t="s">
        <v>308</v>
      </c>
      <c r="F17" s="146">
        <f>甘特圖!$C$2+(3)</f>
        <v>46497</v>
      </c>
      <c r="G17" s="145" t="str">
        <f t="shared" ca="1" si="0"/>
        <v>🟢 正常</v>
      </c>
      <c r="H17" s="147" t="s">
        <v>181</v>
      </c>
    </row>
    <row r="18" spans="1:8" ht="31.5" customHeight="1">
      <c r="A18" s="141" t="s">
        <v>94</v>
      </c>
      <c r="B18" s="142" t="s">
        <v>311</v>
      </c>
      <c r="C18" s="143" t="s">
        <v>312</v>
      </c>
      <c r="D18" s="144" t="s">
        <v>231</v>
      </c>
      <c r="E18" s="145" t="s">
        <v>230</v>
      </c>
      <c r="F18" s="146">
        <f>甘特圖!$C$2+(30)</f>
        <v>46524</v>
      </c>
      <c r="G18" s="145" t="str">
        <f t="shared" ca="1" si="0"/>
        <v>🟢 正常</v>
      </c>
      <c r="H18" s="149" t="s">
        <v>134</v>
      </c>
    </row>
    <row r="19" spans="1:8" ht="31.5" customHeight="1">
      <c r="A19" s="141" t="s">
        <v>94</v>
      </c>
      <c r="B19" s="148"/>
      <c r="C19" s="143" t="s">
        <v>232</v>
      </c>
      <c r="D19" s="144" t="s">
        <v>234</v>
      </c>
      <c r="E19" s="145" t="s">
        <v>233</v>
      </c>
      <c r="F19" s="146">
        <f>甘特圖!$C$2+(60)</f>
        <v>46554</v>
      </c>
      <c r="G19" s="145" t="str">
        <f t="shared" ca="1" si="0"/>
        <v>🟢 正常</v>
      </c>
      <c r="H19" s="147" t="s">
        <v>235</v>
      </c>
    </row>
    <row r="20" spans="1:8" ht="31.5" customHeight="1">
      <c r="A20" s="141" t="s">
        <v>94</v>
      </c>
      <c r="B20" s="148"/>
      <c r="C20" s="143" t="s">
        <v>313</v>
      </c>
      <c r="D20" s="144" t="s">
        <v>314</v>
      </c>
      <c r="E20" s="145" t="s">
        <v>315</v>
      </c>
      <c r="F20" s="146">
        <f>甘特圖!$C$2+(90)</f>
        <v>46584</v>
      </c>
      <c r="G20" s="145" t="str">
        <f t="shared" ca="1" si="0"/>
        <v>🟢 正常</v>
      </c>
      <c r="H20" s="147"/>
    </row>
  </sheetData>
  <mergeCells count="2">
    <mergeCell ref="A1:H1"/>
    <mergeCell ref="A2:H2"/>
  </mergeCells>
  <phoneticPr fontId="49" type="noConversion"/>
  <conditionalFormatting sqref="A4:H20">
    <cfRule type="expression" dxfId="1" priority="2">
      <formula>AND($F4&lt;TODAY(),$F4&lt;&gt;"")</formula>
    </cfRule>
    <cfRule type="expression" dxfId="0" priority="3">
      <formula>AND($F4&gt;=TODAY(),$F4-TODAY()&lt;=30,$F4&lt;&gt;"")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showGridLines="0" zoomScaleNormal="100" workbookViewId="0">
      <selection activeCell="J23" sqref="J23"/>
    </sheetView>
  </sheetViews>
  <sheetFormatPr defaultColWidth="8.6640625" defaultRowHeight="14.4"/>
  <cols>
    <col min="1" max="1" width="18" customWidth="1"/>
    <col min="2" max="2" width="20" customWidth="1"/>
    <col min="3" max="6" width="15" customWidth="1"/>
  </cols>
  <sheetData>
    <row r="1" spans="1:6" ht="27.75" customHeight="1">
      <c r="A1" s="3" t="s">
        <v>316</v>
      </c>
      <c r="B1" s="3"/>
      <c r="C1" s="3"/>
      <c r="D1" s="3"/>
      <c r="E1" s="3"/>
      <c r="F1" s="3"/>
    </row>
    <row r="2" spans="1:6" ht="15.75" customHeight="1">
      <c r="A2" s="8" t="s">
        <v>317</v>
      </c>
      <c r="B2" s="8"/>
      <c r="C2" s="8"/>
      <c r="D2" s="8"/>
      <c r="E2" s="8"/>
      <c r="F2" s="8"/>
    </row>
    <row r="3" spans="1:6" ht="21.75" customHeight="1">
      <c r="A3" s="2" t="s">
        <v>318</v>
      </c>
      <c r="B3" s="2"/>
      <c r="C3" s="2"/>
      <c r="D3" s="2"/>
      <c r="E3" s="2"/>
      <c r="F3" s="2"/>
    </row>
    <row r="4" spans="1:6" ht="19.5" customHeight="1">
      <c r="A4" s="151" t="s">
        <v>319</v>
      </c>
      <c r="B4" s="1" t="s">
        <v>320</v>
      </c>
      <c r="C4" s="1"/>
      <c r="D4" s="1"/>
      <c r="E4" s="1"/>
      <c r="F4" s="1"/>
    </row>
    <row r="5" spans="1:6" ht="19.5" customHeight="1">
      <c r="A5" s="151" t="s">
        <v>321</v>
      </c>
      <c r="B5" s="1" t="s">
        <v>322</v>
      </c>
      <c r="C5" s="1"/>
      <c r="D5" s="1"/>
      <c r="E5" s="1"/>
      <c r="F5" s="1"/>
    </row>
    <row r="6" spans="1:6" ht="19.5" customHeight="1">
      <c r="A6" s="151" t="s">
        <v>323</v>
      </c>
      <c r="B6" s="1" t="s">
        <v>376</v>
      </c>
      <c r="C6" s="1"/>
      <c r="D6" s="1"/>
      <c r="E6" s="1"/>
      <c r="F6" s="1"/>
    </row>
    <row r="7" spans="1:6" ht="19.5" customHeight="1">
      <c r="A7" s="151" t="s">
        <v>324</v>
      </c>
      <c r="B7" s="1" t="s">
        <v>325</v>
      </c>
      <c r="C7" s="1"/>
      <c r="D7" s="1"/>
      <c r="E7" s="1"/>
      <c r="F7" s="1"/>
    </row>
    <row r="8" spans="1:6" ht="19.5" customHeight="1">
      <c r="A8" s="151" t="s">
        <v>326</v>
      </c>
      <c r="B8" s="1" t="s">
        <v>327</v>
      </c>
      <c r="C8" s="1"/>
      <c r="D8" s="1"/>
      <c r="E8" s="1"/>
      <c r="F8" s="1"/>
    </row>
    <row r="9" spans="1:6" ht="19.5" customHeight="1">
      <c r="A9" s="151" t="s">
        <v>328</v>
      </c>
      <c r="B9" s="1" t="s">
        <v>329</v>
      </c>
      <c r="C9" s="1"/>
      <c r="D9" s="1"/>
      <c r="E9" s="1"/>
      <c r="F9" s="1"/>
    </row>
    <row r="10" spans="1:6" ht="19.5" customHeight="1">
      <c r="A10" s="151" t="s">
        <v>330</v>
      </c>
      <c r="B10" s="1" t="s">
        <v>331</v>
      </c>
      <c r="C10" s="1"/>
      <c r="D10" s="1"/>
      <c r="E10" s="1"/>
      <c r="F10" s="1"/>
    </row>
    <row r="12" spans="1:6" ht="21.75" customHeight="1">
      <c r="A12" s="156" t="s">
        <v>332</v>
      </c>
      <c r="B12" s="156"/>
      <c r="C12" s="156"/>
      <c r="D12" s="156"/>
      <c r="E12" s="156"/>
      <c r="F12" s="156"/>
    </row>
    <row r="13" spans="1:6" ht="19.5" customHeight="1">
      <c r="A13" s="152" t="s">
        <v>333</v>
      </c>
      <c r="B13" s="1" t="s">
        <v>334</v>
      </c>
      <c r="C13" s="1"/>
      <c r="D13" s="1"/>
      <c r="E13" s="1"/>
      <c r="F13" s="1"/>
    </row>
    <row r="14" spans="1:6" ht="19.5" customHeight="1">
      <c r="A14" s="152" t="s">
        <v>335</v>
      </c>
      <c r="B14" s="1" t="s">
        <v>336</v>
      </c>
      <c r="C14" s="1"/>
      <c r="D14" s="1"/>
      <c r="E14" s="1"/>
      <c r="F14" s="1"/>
    </row>
    <row r="15" spans="1:6" ht="19.5" customHeight="1">
      <c r="A15" s="152" t="s">
        <v>337</v>
      </c>
      <c r="B15" s="1" t="s">
        <v>338</v>
      </c>
      <c r="C15" s="1"/>
      <c r="D15" s="1"/>
      <c r="E15" s="1"/>
      <c r="F15" s="1"/>
    </row>
    <row r="16" spans="1:6" ht="19.5" customHeight="1">
      <c r="A16" s="152" t="s">
        <v>339</v>
      </c>
      <c r="B16" s="1" t="s">
        <v>340</v>
      </c>
      <c r="C16" s="1"/>
      <c r="D16" s="1"/>
      <c r="E16" s="1"/>
      <c r="F16" s="1"/>
    </row>
    <row r="17" spans="1:6" ht="19.5" customHeight="1">
      <c r="A17" s="152" t="s">
        <v>341</v>
      </c>
      <c r="B17" s="1" t="s">
        <v>342</v>
      </c>
      <c r="C17" s="1"/>
      <c r="D17" s="1"/>
      <c r="E17" s="1"/>
      <c r="F17" s="1"/>
    </row>
    <row r="18" spans="1:6" ht="19.5" customHeight="1">
      <c r="A18" s="152" t="s">
        <v>343</v>
      </c>
      <c r="B18" s="1" t="s">
        <v>344</v>
      </c>
      <c r="C18" s="1"/>
      <c r="D18" s="1"/>
      <c r="E18" s="1"/>
      <c r="F18" s="1"/>
    </row>
    <row r="19" spans="1:6" ht="19.5" customHeight="1">
      <c r="A19" s="152" t="s">
        <v>345</v>
      </c>
      <c r="B19" s="1" t="s">
        <v>346</v>
      </c>
      <c r="C19" s="1"/>
      <c r="D19" s="1"/>
      <c r="E19" s="1"/>
      <c r="F19" s="1"/>
    </row>
    <row r="20" spans="1:6" ht="19.5" customHeight="1">
      <c r="A20" s="152" t="s">
        <v>347</v>
      </c>
      <c r="B20" s="1" t="s">
        <v>348</v>
      </c>
      <c r="C20" s="1"/>
      <c r="D20" s="1"/>
      <c r="E20" s="1"/>
      <c r="F20" s="1"/>
    </row>
    <row r="21" spans="1:6" ht="19.5" customHeight="1">
      <c r="A21" s="152" t="s">
        <v>349</v>
      </c>
      <c r="B21" s="1" t="s">
        <v>350</v>
      </c>
      <c r="C21" s="1"/>
      <c r="D21" s="1"/>
      <c r="E21" s="1"/>
      <c r="F21" s="1"/>
    </row>
    <row r="22" spans="1:6" ht="19.5" customHeight="1">
      <c r="A22" s="152" t="s">
        <v>351</v>
      </c>
      <c r="B22" s="1" t="s">
        <v>352</v>
      </c>
      <c r="C22" s="1"/>
      <c r="D22" s="1"/>
      <c r="E22" s="1"/>
      <c r="F22" s="1"/>
    </row>
    <row r="23" spans="1:6" ht="19.5" customHeight="1">
      <c r="A23" s="152" t="s">
        <v>353</v>
      </c>
      <c r="B23" s="1" t="s">
        <v>354</v>
      </c>
      <c r="C23" s="1"/>
      <c r="D23" s="1"/>
      <c r="E23" s="1"/>
      <c r="F23" s="1"/>
    </row>
    <row r="24" spans="1:6" ht="19.5" customHeight="1">
      <c r="A24" s="153" t="s">
        <v>355</v>
      </c>
      <c r="B24" s="1" t="s">
        <v>356</v>
      </c>
      <c r="C24" s="1"/>
      <c r="D24" s="1"/>
      <c r="E24" s="1"/>
      <c r="F24" s="1"/>
    </row>
    <row r="26" spans="1:6" ht="21.75" customHeight="1">
      <c r="A26" s="157" t="s">
        <v>357</v>
      </c>
      <c r="B26" s="157"/>
      <c r="C26" s="157"/>
      <c r="D26" s="157"/>
      <c r="E26" s="157"/>
      <c r="F26" s="157"/>
    </row>
    <row r="27" spans="1:6" ht="19.5" customHeight="1">
      <c r="A27" s="154" t="s">
        <v>358</v>
      </c>
      <c r="B27" s="1" t="s">
        <v>359</v>
      </c>
      <c r="C27" s="1"/>
      <c r="D27" s="1"/>
      <c r="E27" s="1"/>
      <c r="F27" s="1"/>
    </row>
    <row r="28" spans="1:6" ht="19.5" customHeight="1">
      <c r="A28" s="154" t="s">
        <v>360</v>
      </c>
      <c r="B28" s="1" t="s">
        <v>361</v>
      </c>
      <c r="C28" s="1"/>
      <c r="D28" s="1"/>
      <c r="E28" s="1"/>
      <c r="F28" s="1"/>
    </row>
    <row r="29" spans="1:6" ht="19.5" customHeight="1">
      <c r="A29" s="154" t="s">
        <v>362</v>
      </c>
      <c r="B29" s="1" t="s">
        <v>363</v>
      </c>
      <c r="C29" s="1"/>
      <c r="D29" s="1"/>
      <c r="E29" s="1"/>
      <c r="F29" s="1"/>
    </row>
    <row r="30" spans="1:6" ht="19.5" customHeight="1">
      <c r="A30" s="154" t="s">
        <v>364</v>
      </c>
      <c r="B30" s="1" t="s">
        <v>365</v>
      </c>
      <c r="C30" s="1"/>
      <c r="D30" s="1"/>
      <c r="E30" s="1"/>
      <c r="F30" s="1"/>
    </row>
    <row r="31" spans="1:6" ht="19.5" customHeight="1">
      <c r="A31" s="154" t="s">
        <v>366</v>
      </c>
      <c r="B31" s="1" t="s">
        <v>367</v>
      </c>
      <c r="C31" s="1"/>
      <c r="D31" s="1"/>
      <c r="E31" s="1"/>
      <c r="F31" s="1"/>
    </row>
    <row r="32" spans="1:6" ht="19.5" customHeight="1">
      <c r="A32" s="154" t="s">
        <v>368</v>
      </c>
      <c r="B32" s="1" t="s">
        <v>369</v>
      </c>
      <c r="C32" s="1"/>
      <c r="D32" s="1"/>
      <c r="E32" s="1"/>
      <c r="F32" s="1"/>
    </row>
    <row r="33" spans="1:6" ht="19.5" customHeight="1">
      <c r="A33" s="154" t="s">
        <v>370</v>
      </c>
      <c r="B33" s="1" t="s">
        <v>371</v>
      </c>
      <c r="C33" s="1"/>
      <c r="D33" s="1"/>
      <c r="E33" s="1"/>
      <c r="F33" s="1"/>
    </row>
    <row r="34" spans="1:6" ht="19.5" customHeight="1">
      <c r="A34" s="154" t="s">
        <v>372</v>
      </c>
      <c r="B34" s="1" t="s">
        <v>373</v>
      </c>
      <c r="C34" s="1"/>
      <c r="D34" s="1"/>
      <c r="E34" s="1"/>
      <c r="F34" s="1"/>
    </row>
    <row r="35" spans="1:6" ht="19.5" customHeight="1">
      <c r="A35" s="155" t="s">
        <v>374</v>
      </c>
      <c r="B35" s="158" t="s">
        <v>375</v>
      </c>
      <c r="C35" s="158"/>
      <c r="D35" s="158"/>
      <c r="E35" s="158"/>
      <c r="F35" s="158"/>
    </row>
  </sheetData>
  <mergeCells count="33">
    <mergeCell ref="B33:F33"/>
    <mergeCell ref="B34:F34"/>
    <mergeCell ref="B35:F35"/>
    <mergeCell ref="B28:F28"/>
    <mergeCell ref="B29:F29"/>
    <mergeCell ref="B30:F30"/>
    <mergeCell ref="B31:F31"/>
    <mergeCell ref="B32:F32"/>
    <mergeCell ref="B22:F22"/>
    <mergeCell ref="B23:F23"/>
    <mergeCell ref="B24:F24"/>
    <mergeCell ref="A26:F26"/>
    <mergeCell ref="B27:F27"/>
    <mergeCell ref="B17:F17"/>
    <mergeCell ref="B18:F18"/>
    <mergeCell ref="B19:F19"/>
    <mergeCell ref="B20:F20"/>
    <mergeCell ref="B21:F21"/>
    <mergeCell ref="A12:F12"/>
    <mergeCell ref="B13:F13"/>
    <mergeCell ref="B14:F14"/>
    <mergeCell ref="B15:F15"/>
    <mergeCell ref="B16:F16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B5:F5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甘特圖</vt:lpstr>
      <vt:lpstr>完整 Checklist</vt:lpstr>
      <vt:lpstr>男方（廖千儀）</vt:lpstr>
      <vt:lpstr>女方（陳郁諠）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Clark Liao</cp:lastModifiedBy>
  <cp:revision>0</cp:revision>
  <dcterms:created xsi:type="dcterms:W3CDTF">2026-05-26T02:40:53Z</dcterms:created>
  <dcterms:modified xsi:type="dcterms:W3CDTF">2026-05-26T03:06:54Z</dcterms:modified>
  <dc:language>en-US</dc:language>
</cp:coreProperties>
</file>